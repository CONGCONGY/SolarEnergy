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aper\博士论文\喷淋\ManuscriptFinal\"/>
    </mc:Choice>
  </mc:AlternateContent>
  <xr:revisionPtr revIDLastSave="0" documentId="13_ncr:1_{87643F57-FD93-47A0-AE03-EB75045C0601}" xr6:coauthVersionLast="47" xr6:coauthVersionMax="47" xr10:uidLastSave="{00000000-0000-0000-0000-000000000000}"/>
  <bookViews>
    <workbookView xWindow="-108" yWindow="-108" windowWidth="30936" windowHeight="16776" tabRatio="686" activeTab="3" xr2:uid="{00000000-000D-0000-FFFF-FFFF00000000}"/>
  </bookViews>
  <sheets>
    <sheet name="Data" sheetId="6" r:id="rId1"/>
    <sheet name="Cost Saving" sheetId="7" r:id="rId2"/>
    <sheet name="Emission Saving" sheetId="9" r:id="rId3"/>
    <sheet name="Land Saving" sheetId="8" r:id="rId4"/>
    <sheet name="Water Saving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6" l="1"/>
  <c r="H17" i="6"/>
  <c r="E47" i="6"/>
  <c r="E48" i="6"/>
  <c r="E49" i="6"/>
  <c r="E53" i="6"/>
  <c r="L21" i="6" s="1"/>
  <c r="E52" i="6"/>
  <c r="E51" i="6"/>
  <c r="H52" i="6"/>
  <c r="E44" i="6"/>
  <c r="E43" i="6"/>
  <c r="I36" i="6"/>
  <c r="G28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3" i="7"/>
  <c r="E42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13" i="6"/>
  <c r="C7" i="7" l="1"/>
  <c r="C7" i="9"/>
  <c r="C7" i="10"/>
  <c r="C7" i="8"/>
  <c r="K18" i="6"/>
  <c r="J17" i="6"/>
  <c r="L20" i="6"/>
  <c r="J13" i="6"/>
  <c r="J15" i="6"/>
  <c r="K17" i="6"/>
  <c r="D7" i="8" s="1"/>
  <c r="E7" i="8" s="1"/>
  <c r="J26" i="6"/>
  <c r="K28" i="6"/>
  <c r="K16" i="6"/>
  <c r="L18" i="6"/>
  <c r="J25" i="6"/>
  <c r="K27" i="6"/>
  <c r="L29" i="6"/>
  <c r="J36" i="6"/>
  <c r="K38" i="6"/>
  <c r="K14" i="6"/>
  <c r="L16" i="6"/>
  <c r="J23" i="6"/>
  <c r="L13" i="6"/>
  <c r="J22" i="6"/>
  <c r="K24" i="6"/>
  <c r="L14" i="6"/>
  <c r="J33" i="6"/>
  <c r="J21" i="6"/>
  <c r="K35" i="6"/>
  <c r="K23" i="6"/>
  <c r="L37" i="6"/>
  <c r="L25" i="6"/>
  <c r="J16" i="6"/>
  <c r="K30" i="6"/>
  <c r="J27" i="6"/>
  <c r="L31" i="6"/>
  <c r="J38" i="6"/>
  <c r="K13" i="6"/>
  <c r="L17" i="6"/>
  <c r="J24" i="6"/>
  <c r="L28" i="6"/>
  <c r="J35" i="6"/>
  <c r="K25" i="6"/>
  <c r="L27" i="6"/>
  <c r="L15" i="6"/>
  <c r="J34" i="6"/>
  <c r="L38" i="6"/>
  <c r="J32" i="6"/>
  <c r="J20" i="6"/>
  <c r="K34" i="6"/>
  <c r="K22" i="6"/>
  <c r="L36" i="6"/>
  <c r="L24" i="6"/>
  <c r="J28" i="6"/>
  <c r="L32" i="6"/>
  <c r="K29" i="6"/>
  <c r="L19" i="6"/>
  <c r="J14" i="6"/>
  <c r="L30" i="6"/>
  <c r="J37" i="6"/>
  <c r="K15" i="6"/>
  <c r="K26" i="6"/>
  <c r="K37" i="6"/>
  <c r="K36" i="6"/>
  <c r="L26" i="6"/>
  <c r="J31" i="6"/>
  <c r="J19" i="6"/>
  <c r="K33" i="6"/>
  <c r="K21" i="6"/>
  <c r="L35" i="6"/>
  <c r="L23" i="6"/>
  <c r="J30" i="6"/>
  <c r="J18" i="6"/>
  <c r="K32" i="6"/>
  <c r="K20" i="6"/>
  <c r="L34" i="6"/>
  <c r="L22" i="6"/>
  <c r="J29" i="6"/>
  <c r="K31" i="6"/>
  <c r="K19" i="6"/>
  <c r="L33" i="6"/>
  <c r="H19" i="6"/>
  <c r="I14" i="6"/>
  <c r="I35" i="6"/>
  <c r="I34" i="6"/>
  <c r="I33" i="6"/>
  <c r="I25" i="6"/>
  <c r="I24" i="6"/>
  <c r="I23" i="6"/>
  <c r="I22" i="6"/>
  <c r="I21" i="6"/>
  <c r="I38" i="6"/>
  <c r="I37" i="6"/>
  <c r="I32" i="6"/>
  <c r="I20" i="6"/>
  <c r="I31" i="6"/>
  <c r="I19" i="6"/>
  <c r="I30" i="6"/>
  <c r="I18" i="6"/>
  <c r="I29" i="6"/>
  <c r="I17" i="6"/>
  <c r="I28" i="6"/>
  <c r="I16" i="6"/>
  <c r="I13" i="6"/>
  <c r="I27" i="6"/>
  <c r="I15" i="6"/>
  <c r="I26" i="6"/>
  <c r="H30" i="6"/>
  <c r="H29" i="6"/>
  <c r="H18" i="6"/>
  <c r="H13" i="6"/>
  <c r="H38" i="6"/>
  <c r="H25" i="6"/>
  <c r="H36" i="6"/>
  <c r="H35" i="6"/>
  <c r="H23" i="6"/>
  <c r="H16" i="6"/>
  <c r="H26" i="6"/>
  <c r="H37" i="6"/>
  <c r="H34" i="6"/>
  <c r="H22" i="6"/>
  <c r="H28" i="6"/>
  <c r="H15" i="6"/>
  <c r="H14" i="6"/>
  <c r="H24" i="6"/>
  <c r="H33" i="6"/>
  <c r="H21" i="6"/>
  <c r="H27" i="6"/>
  <c r="H32" i="6"/>
  <c r="H20" i="6"/>
  <c r="H31" i="6"/>
  <c r="D7" i="9" l="1"/>
  <c r="E7" i="9" s="1"/>
  <c r="D7" i="7"/>
  <c r="H7" i="7" s="1"/>
  <c r="C27" i="7"/>
  <c r="D27" i="7" s="1"/>
  <c r="H27" i="7" s="1"/>
  <c r="C27" i="10"/>
  <c r="C27" i="8"/>
  <c r="D27" i="8" s="1"/>
  <c r="E27" i="8" s="1"/>
  <c r="C27" i="9"/>
  <c r="D27" i="9" s="1"/>
  <c r="E27" i="9" s="1"/>
  <c r="D17" i="9"/>
  <c r="E17" i="9" s="1"/>
  <c r="C22" i="7"/>
  <c r="C22" i="10"/>
  <c r="D22" i="10" s="1"/>
  <c r="E22" i="10" s="1"/>
  <c r="C22" i="9"/>
  <c r="D22" i="9" s="1"/>
  <c r="E22" i="9" s="1"/>
  <c r="C22" i="8"/>
  <c r="D22" i="8" s="1"/>
  <c r="E22" i="8" s="1"/>
  <c r="C21" i="7"/>
  <c r="D21" i="7" s="1"/>
  <c r="H21" i="7" s="1"/>
  <c r="C21" i="10"/>
  <c r="D21" i="10" s="1"/>
  <c r="E21" i="10" s="1"/>
  <c r="C21" i="8"/>
  <c r="D21" i="8" s="1"/>
  <c r="E21" i="8" s="1"/>
  <c r="C21" i="9"/>
  <c r="D21" i="9" s="1"/>
  <c r="E21" i="9" s="1"/>
  <c r="C9" i="7"/>
  <c r="D9" i="7" s="1"/>
  <c r="H9" i="7" s="1"/>
  <c r="C9" i="10"/>
  <c r="D9" i="10" s="1"/>
  <c r="E9" i="10" s="1"/>
  <c r="C9" i="9"/>
  <c r="C9" i="8"/>
  <c r="D9" i="8" s="1"/>
  <c r="E9" i="8" s="1"/>
  <c r="D6" i="10"/>
  <c r="E6" i="10" s="1"/>
  <c r="C11" i="7"/>
  <c r="C11" i="9"/>
  <c r="C11" i="10"/>
  <c r="D11" i="10" s="1"/>
  <c r="E11" i="10" s="1"/>
  <c r="C11" i="8"/>
  <c r="D27" i="10"/>
  <c r="E27" i="10" s="1"/>
  <c r="C23" i="7"/>
  <c r="D23" i="7" s="1"/>
  <c r="H23" i="7" s="1"/>
  <c r="C23" i="10"/>
  <c r="D23" i="10" s="1"/>
  <c r="E23" i="10" s="1"/>
  <c r="C23" i="9"/>
  <c r="D23" i="9" s="1"/>
  <c r="E23" i="9" s="1"/>
  <c r="C23" i="8"/>
  <c r="D23" i="8" s="1"/>
  <c r="E23" i="8" s="1"/>
  <c r="C26" i="7"/>
  <c r="D26" i="7" s="1"/>
  <c r="H26" i="7" s="1"/>
  <c r="C26" i="9"/>
  <c r="C26" i="8"/>
  <c r="C26" i="10"/>
  <c r="D13" i="8"/>
  <c r="E13" i="8" s="1"/>
  <c r="D26" i="9"/>
  <c r="E26" i="9" s="1"/>
  <c r="D3" i="10"/>
  <c r="F5" i="10" s="1"/>
  <c r="C17" i="7"/>
  <c r="C17" i="8"/>
  <c r="C17" i="9"/>
  <c r="C17" i="10"/>
  <c r="D17" i="10" s="1"/>
  <c r="E17" i="10" s="1"/>
  <c r="D9" i="9"/>
  <c r="E9" i="9" s="1"/>
  <c r="C14" i="7"/>
  <c r="D14" i="7" s="1"/>
  <c r="H14" i="7" s="1"/>
  <c r="C14" i="9"/>
  <c r="D14" i="9" s="1"/>
  <c r="E14" i="9" s="1"/>
  <c r="C14" i="8"/>
  <c r="D14" i="8" s="1"/>
  <c r="E14" i="8" s="1"/>
  <c r="C14" i="10"/>
  <c r="D14" i="10"/>
  <c r="E14" i="10" s="1"/>
  <c r="D8" i="8"/>
  <c r="E8" i="8" s="1"/>
  <c r="C4" i="7"/>
  <c r="C4" i="8"/>
  <c r="D4" i="8" s="1"/>
  <c r="E4" i="8" s="1"/>
  <c r="C4" i="10"/>
  <c r="D4" i="10" s="1"/>
  <c r="E4" i="10" s="1"/>
  <c r="C4" i="9"/>
  <c r="D4" i="9" s="1"/>
  <c r="E4" i="9" s="1"/>
  <c r="C28" i="7"/>
  <c r="D28" i="7" s="1"/>
  <c r="H28" i="7" s="1"/>
  <c r="C28" i="8"/>
  <c r="D28" i="8" s="1"/>
  <c r="E28" i="8" s="1"/>
  <c r="C28" i="10"/>
  <c r="C28" i="9"/>
  <c r="D28" i="9" s="1"/>
  <c r="E28" i="9" s="1"/>
  <c r="D26" i="8"/>
  <c r="E26" i="8" s="1"/>
  <c r="D26" i="10"/>
  <c r="E26" i="10" s="1"/>
  <c r="D11" i="9"/>
  <c r="E11" i="9" s="1"/>
  <c r="D17" i="8"/>
  <c r="E17" i="8" s="1"/>
  <c r="D7" i="10"/>
  <c r="E7" i="10" s="1"/>
  <c r="C16" i="7"/>
  <c r="C16" i="9"/>
  <c r="D16" i="9" s="1"/>
  <c r="E16" i="9" s="1"/>
  <c r="C16" i="10"/>
  <c r="D16" i="10" s="1"/>
  <c r="E16" i="10" s="1"/>
  <c r="C16" i="8"/>
  <c r="D16" i="8" s="1"/>
  <c r="E16" i="8" s="1"/>
  <c r="D11" i="8"/>
  <c r="E11" i="8" s="1"/>
  <c r="D3" i="9"/>
  <c r="E3" i="9" s="1"/>
  <c r="C15" i="7"/>
  <c r="D15" i="7" s="1"/>
  <c r="H15" i="7" s="1"/>
  <c r="C15" i="8"/>
  <c r="D15" i="8" s="1"/>
  <c r="E15" i="8" s="1"/>
  <c r="C15" i="9"/>
  <c r="D15" i="9" s="1"/>
  <c r="E15" i="9" s="1"/>
  <c r="C15" i="10"/>
  <c r="D15" i="10" s="1"/>
  <c r="E15" i="10" s="1"/>
  <c r="C3" i="7"/>
  <c r="C3" i="8"/>
  <c r="C3" i="9"/>
  <c r="C3" i="10"/>
  <c r="C18" i="7"/>
  <c r="C18" i="10"/>
  <c r="D18" i="10" s="1"/>
  <c r="E18" i="10" s="1"/>
  <c r="C18" i="8"/>
  <c r="D18" i="8" s="1"/>
  <c r="E18" i="8" s="1"/>
  <c r="C18" i="9"/>
  <c r="D18" i="9" s="1"/>
  <c r="E18" i="9" s="1"/>
  <c r="C8" i="7"/>
  <c r="D8" i="7" s="1"/>
  <c r="H8" i="7" s="1"/>
  <c r="C8" i="10"/>
  <c r="D8" i="10" s="1"/>
  <c r="E8" i="10" s="1"/>
  <c r="C8" i="9"/>
  <c r="C8" i="8"/>
  <c r="D3" i="8"/>
  <c r="C12" i="7"/>
  <c r="D12" i="7" s="1"/>
  <c r="H12" i="7" s="1"/>
  <c r="C12" i="10"/>
  <c r="D12" i="10" s="1"/>
  <c r="E12" i="10" s="1"/>
  <c r="C12" i="9"/>
  <c r="D12" i="9" s="1"/>
  <c r="E12" i="9" s="1"/>
  <c r="C12" i="8"/>
  <c r="D12" i="8" s="1"/>
  <c r="E12" i="8" s="1"/>
  <c r="C19" i="7"/>
  <c r="D19" i="7" s="1"/>
  <c r="H19" i="7" s="1"/>
  <c r="C19" i="9"/>
  <c r="D19" i="9" s="1"/>
  <c r="E19" i="9" s="1"/>
  <c r="C19" i="8"/>
  <c r="D19" i="8" s="1"/>
  <c r="E19" i="8" s="1"/>
  <c r="C19" i="10"/>
  <c r="D19" i="10" s="1"/>
  <c r="E19" i="10" s="1"/>
  <c r="D8" i="9"/>
  <c r="E8" i="9" s="1"/>
  <c r="D6" i="8"/>
  <c r="E6" i="8" s="1"/>
  <c r="D28" i="10"/>
  <c r="E28" i="10" s="1"/>
  <c r="C10" i="7"/>
  <c r="D10" i="7" s="1"/>
  <c r="H10" i="7" s="1"/>
  <c r="C10" i="9"/>
  <c r="D10" i="9" s="1"/>
  <c r="E10" i="9" s="1"/>
  <c r="C10" i="10"/>
  <c r="D10" i="10" s="1"/>
  <c r="E10" i="10" s="1"/>
  <c r="C10" i="8"/>
  <c r="C6" i="7"/>
  <c r="D6" i="7" s="1"/>
  <c r="H6" i="7" s="1"/>
  <c r="C6" i="8"/>
  <c r="C6" i="9"/>
  <c r="D6" i="9" s="1"/>
  <c r="E6" i="9" s="1"/>
  <c r="C6" i="10"/>
  <c r="C13" i="7"/>
  <c r="D13" i="7" s="1"/>
  <c r="H13" i="7" s="1"/>
  <c r="C13" i="8"/>
  <c r="C13" i="9"/>
  <c r="D13" i="9" s="1"/>
  <c r="E13" i="9" s="1"/>
  <c r="C13" i="10"/>
  <c r="D13" i="10" s="1"/>
  <c r="E13" i="10" s="1"/>
  <c r="C25" i="7"/>
  <c r="D25" i="7" s="1"/>
  <c r="H25" i="7" s="1"/>
  <c r="C25" i="10"/>
  <c r="D25" i="10" s="1"/>
  <c r="E25" i="10" s="1"/>
  <c r="C25" i="9"/>
  <c r="D25" i="9" s="1"/>
  <c r="E25" i="9" s="1"/>
  <c r="C25" i="8"/>
  <c r="D25" i="8" s="1"/>
  <c r="E25" i="8" s="1"/>
  <c r="C5" i="7"/>
  <c r="C5" i="8"/>
  <c r="D5" i="8" s="1"/>
  <c r="E5" i="8" s="1"/>
  <c r="C5" i="10"/>
  <c r="D5" i="10" s="1"/>
  <c r="E5" i="10" s="1"/>
  <c r="C5" i="9"/>
  <c r="D5" i="9" s="1"/>
  <c r="E5" i="9" s="1"/>
  <c r="D10" i="8"/>
  <c r="E10" i="8" s="1"/>
  <c r="C24" i="7"/>
  <c r="D24" i="7" s="1"/>
  <c r="H24" i="7" s="1"/>
  <c r="C24" i="10"/>
  <c r="D24" i="10" s="1"/>
  <c r="E24" i="10" s="1"/>
  <c r="C24" i="9"/>
  <c r="D24" i="9" s="1"/>
  <c r="E24" i="9" s="1"/>
  <c r="C24" i="8"/>
  <c r="D24" i="8" s="1"/>
  <c r="E24" i="8" s="1"/>
  <c r="C20" i="7"/>
  <c r="D20" i="7" s="1"/>
  <c r="H20" i="7" s="1"/>
  <c r="C20" i="8"/>
  <c r="D20" i="8" s="1"/>
  <c r="E20" i="8" s="1"/>
  <c r="C20" i="10"/>
  <c r="D20" i="10" s="1"/>
  <c r="E20" i="10" s="1"/>
  <c r="C20" i="9"/>
  <c r="D20" i="9"/>
  <c r="E20" i="9" s="1"/>
  <c r="E3" i="8"/>
  <c r="F5" i="8"/>
  <c r="F5" i="9"/>
  <c r="D11" i="7"/>
  <c r="H11" i="7" s="1"/>
  <c r="D4" i="7"/>
  <c r="H4" i="7" s="1"/>
  <c r="D3" i="7"/>
  <c r="H3" i="7" s="1"/>
  <c r="D5" i="7"/>
  <c r="H5" i="7" s="1"/>
  <c r="D18" i="7"/>
  <c r="H18" i="7" s="1"/>
  <c r="D22" i="7"/>
  <c r="H22" i="7" s="1"/>
  <c r="D16" i="7"/>
  <c r="H16" i="7" s="1"/>
  <c r="D17" i="7"/>
  <c r="H17" i="7" s="1"/>
  <c r="F3" i="8" l="1"/>
  <c r="F7" i="8" s="1"/>
  <c r="E3" i="10"/>
  <c r="F7" i="10" s="1"/>
  <c r="F3" i="10"/>
  <c r="F3" i="9"/>
  <c r="J3" i="7"/>
  <c r="I15" i="7"/>
  <c r="I27" i="7"/>
  <c r="I4" i="7"/>
  <c r="I16" i="7"/>
  <c r="I28" i="7"/>
  <c r="I7" i="7"/>
  <c r="I8" i="7"/>
  <c r="I21" i="7"/>
  <c r="I12" i="7"/>
  <c r="I13" i="7"/>
  <c r="I14" i="7"/>
  <c r="I5" i="7"/>
  <c r="I17" i="7"/>
  <c r="I3" i="7"/>
  <c r="I19" i="7"/>
  <c r="I20" i="7"/>
  <c r="I9" i="7"/>
  <c r="I22" i="7"/>
  <c r="I23" i="7"/>
  <c r="I25" i="7"/>
  <c r="I26" i="7"/>
  <c r="I6" i="7"/>
  <c r="I18" i="7"/>
  <c r="I10" i="7"/>
  <c r="I24" i="7"/>
  <c r="I11" i="7"/>
</calcChain>
</file>

<file path=xl/sharedStrings.xml><?xml version="1.0" encoding="utf-8"?>
<sst xmlns="http://schemas.openxmlformats.org/spreadsheetml/2006/main" count="60" uniqueCount="42">
  <si>
    <t>Discount Ratio</t>
    <phoneticPr fontId="2" type="noConversion"/>
  </si>
  <si>
    <t>Required Capacity</t>
    <phoneticPr fontId="2" type="noConversion"/>
  </si>
  <si>
    <t>Year</t>
    <phoneticPr fontId="2" type="noConversion"/>
  </si>
  <si>
    <t>Yearly Required Capacity</t>
  </si>
  <si>
    <t>Yearly Required Capacity</t>
    <phoneticPr fontId="2" type="noConversion"/>
  </si>
  <si>
    <t>Annual Cost Saving</t>
    <phoneticPr fontId="2" type="noConversion"/>
  </si>
  <si>
    <t>Annual Capacity Saving</t>
    <phoneticPr fontId="2" type="noConversion"/>
  </si>
  <si>
    <t>Initial Capital Expenditure per GW</t>
    <phoneticPr fontId="2" type="noConversion"/>
  </si>
  <si>
    <t>Annual Solar Cell Temperature Coefficient Reduction Rate</t>
    <phoneticPr fontId="2" type="noConversion"/>
  </si>
  <si>
    <t>Capacity Reduction Rate due to PV/T</t>
    <phoneticPr fontId="2" type="noConversion"/>
  </si>
  <si>
    <t>Yearly Capacity Reduction Rate</t>
    <phoneticPr fontId="2" type="noConversion"/>
  </si>
  <si>
    <t>Yearly Capital Expenditure per GW</t>
    <phoneticPr fontId="2" type="noConversion"/>
  </si>
  <si>
    <t>Total Cost Saving</t>
    <phoneticPr fontId="2" type="noConversion"/>
  </si>
  <si>
    <t>Billon Dollar</t>
    <phoneticPr fontId="2" type="noConversion"/>
  </si>
  <si>
    <t>PVC</t>
    <phoneticPr fontId="2" type="noConversion"/>
  </si>
  <si>
    <t>Present Value</t>
    <phoneticPr fontId="2" type="noConversion"/>
  </si>
  <si>
    <t>Annual Capital Expenditure Reduction Rate</t>
    <phoneticPr fontId="2" type="noConversion"/>
  </si>
  <si>
    <t>Annual Cost Saving from Reduced Installed Capacity</t>
    <phoneticPr fontId="2" type="noConversion"/>
  </si>
  <si>
    <t>Annual Land Use Saving from Reduced Installed Capacity</t>
    <phoneticPr fontId="2" type="noConversion"/>
  </si>
  <si>
    <t>Annual Land Use Saving</t>
    <phoneticPr fontId="2" type="noConversion"/>
  </si>
  <si>
    <r>
      <t>km</t>
    </r>
    <r>
      <rPr>
        <vertAlign val="superscript"/>
        <sz val="11"/>
        <color theme="1"/>
        <rFont val="Times New Roman"/>
        <family val="1"/>
      </rPr>
      <t>2</t>
    </r>
    <phoneticPr fontId="2" type="noConversion"/>
  </si>
  <si>
    <t>Total Land Use Saving</t>
    <phoneticPr fontId="2" type="noConversion"/>
  </si>
  <si>
    <r>
      <t>Land use (m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/(MWh/a))</t>
    </r>
  </si>
  <si>
    <t>Annual Land Use Reduction Rate</t>
  </si>
  <si>
    <t>Annual Manufacturing-related Greenhouse Gas Emission Reduction Rate</t>
  </si>
  <si>
    <t>Annual Dissipated Water Use Reduction Rate</t>
    <phoneticPr fontId="2" type="noConversion"/>
  </si>
  <si>
    <r>
      <t>Land use (m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>/(MWh/a))</t>
    </r>
    <phoneticPr fontId="2" type="noConversion"/>
  </si>
  <si>
    <t>Initial Greenhouse Gas Emissions per GW</t>
    <phoneticPr fontId="2" type="noConversion"/>
  </si>
  <si>
    <t>Initial Land Use per GW</t>
    <phoneticPr fontId="2" type="noConversion"/>
  </si>
  <si>
    <t>Initial Dissipated Water Use per GW</t>
    <phoneticPr fontId="2" type="noConversion"/>
  </si>
  <si>
    <t>MWh/a to MW transfer coefficient</t>
    <phoneticPr fontId="2" type="noConversion"/>
  </si>
  <si>
    <t>Yearly Greenhouse gas per GW</t>
    <phoneticPr fontId="2" type="noConversion"/>
  </si>
  <si>
    <r>
      <t>tCO</t>
    </r>
    <r>
      <rPr>
        <vertAlign val="subscript"/>
        <sz val="11"/>
        <color theme="1"/>
        <rFont val="Times New Roman"/>
        <family val="1"/>
      </rPr>
      <t>2</t>
    </r>
    <phoneticPr fontId="2" type="noConversion"/>
  </si>
  <si>
    <t>Yearly Land Use per GW</t>
    <phoneticPr fontId="2" type="noConversion"/>
  </si>
  <si>
    <t>Yearly Water Use per GW</t>
    <phoneticPr fontId="2" type="noConversion"/>
  </si>
  <si>
    <r>
      <t>Greenhouse gas emissions (kgCO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/(MWh/a))</t>
    </r>
    <phoneticPr fontId="2" type="noConversion"/>
  </si>
  <si>
    <t>Total Emission Saving</t>
    <phoneticPr fontId="2" type="noConversion"/>
  </si>
  <si>
    <t>Total Water Saving</t>
    <phoneticPr fontId="2" type="noConversion"/>
  </si>
  <si>
    <r>
      <t>km</t>
    </r>
    <r>
      <rPr>
        <vertAlign val="superscript"/>
        <sz val="11"/>
        <color theme="1"/>
        <rFont val="Times New Roman"/>
        <family val="1"/>
      </rPr>
      <t>3</t>
    </r>
    <phoneticPr fontId="2" type="noConversion"/>
  </si>
  <si>
    <t>%</t>
    <phoneticPr fontId="2" type="noConversion"/>
  </si>
  <si>
    <t>Annual Emission Saving</t>
    <phoneticPr fontId="2" type="noConversion"/>
  </si>
  <si>
    <t>Annual Water Saving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</si>
</sst>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81" formatCode="0.0000"/>
    <numFmt numFmtId="194" formatCode="0.000000000_);[Red]\(0.000000000\)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theme="4"/>
      <name val="Times New Roman"/>
      <family val="1"/>
    </font>
    <font>
      <vertAlign val="superscript"/>
      <sz val="11"/>
      <color theme="1"/>
      <name val="Times New Roman"/>
      <family val="1"/>
    </font>
    <font>
      <sz val="12"/>
      <color rgb="FFFF0000"/>
      <name val="Times New Roman"/>
      <family val="1"/>
    </font>
    <font>
      <vertAlign val="subscript"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94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14745-0D68-464D-B788-E49020857D86}">
  <dimension ref="A12:L53"/>
  <sheetViews>
    <sheetView topLeftCell="A10" zoomScale="90" zoomScaleNormal="90" workbookViewId="0">
      <selection activeCell="K46" sqref="K46"/>
    </sheetView>
  </sheetViews>
  <sheetFormatPr defaultColWidth="16.77734375" defaultRowHeight="15" customHeight="1" x14ac:dyDescent="0.25"/>
  <cols>
    <col min="1" max="4" width="16.77734375" style="3"/>
    <col min="5" max="5" width="27.33203125" style="3" customWidth="1"/>
    <col min="6" max="6" width="16.77734375" style="3"/>
    <col min="7" max="7" width="16.5546875" style="3" customWidth="1"/>
    <col min="8" max="8" width="31.21875" style="3" customWidth="1"/>
    <col min="9" max="12" width="32.77734375" style="3" customWidth="1"/>
    <col min="13" max="16384" width="16.77734375" style="3"/>
  </cols>
  <sheetData>
    <row r="12" spans="1:12" ht="15" customHeight="1" x14ac:dyDescent="0.25">
      <c r="A12" s="4" t="s">
        <v>2</v>
      </c>
      <c r="B12" s="4" t="s">
        <v>1</v>
      </c>
      <c r="D12" s="1" t="s">
        <v>2</v>
      </c>
      <c r="E12" s="1" t="s">
        <v>4</v>
      </c>
      <c r="G12" s="1" t="s">
        <v>2</v>
      </c>
      <c r="H12" s="1" t="s">
        <v>10</v>
      </c>
      <c r="I12" s="1" t="s">
        <v>11</v>
      </c>
      <c r="J12" s="1" t="s">
        <v>31</v>
      </c>
      <c r="K12" s="1" t="s">
        <v>33</v>
      </c>
      <c r="L12" s="1" t="s">
        <v>34</v>
      </c>
    </row>
    <row r="13" spans="1:12" ht="15" customHeight="1" x14ac:dyDescent="0.25">
      <c r="A13" s="3">
        <v>2023</v>
      </c>
      <c r="B13" s="3">
        <f>1405.989+1539.4*(A13-2023)-5.0266*(A13-2023)*(A13-2023)</f>
        <v>1405.989</v>
      </c>
      <c r="D13" s="3">
        <v>2024</v>
      </c>
      <c r="E13" s="3">
        <f>B14-B13</f>
        <v>1534.3733999999999</v>
      </c>
      <c r="G13" s="3">
        <v>2025</v>
      </c>
      <c r="H13" s="3">
        <f>$E$45*POWER((1-$E$44),(G13-2024))</f>
        <v>3.7999999999999999E-2</v>
      </c>
      <c r="I13" s="6">
        <f>$E$42*POWER((1-$E$43),(G13-2024))</f>
        <v>290700000</v>
      </c>
      <c r="J13" s="6">
        <f>$E$51*POWER((1-$E$47),(G13-2024))</f>
        <v>28849600</v>
      </c>
      <c r="K13" s="6">
        <f>$E$52*POWER((1-$E$48),(G13-2024))</f>
        <v>10668804</v>
      </c>
      <c r="L13" s="6">
        <f>$E$53*POWER((1-$E$49),(G13-2024))</f>
        <v>19418000</v>
      </c>
    </row>
    <row r="14" spans="1:12" ht="15" customHeight="1" x14ac:dyDescent="0.25">
      <c r="A14" s="3">
        <v>2024</v>
      </c>
      <c r="B14" s="3">
        <f t="shared" ref="B14:B40" si="0">1405.989+1539.4*(A14-2023)-5.0266*(A14-2023)*(A14-2023)</f>
        <v>2940.3624</v>
      </c>
      <c r="D14" s="3">
        <v>2025</v>
      </c>
      <c r="E14" s="3">
        <f t="shared" ref="E14:E39" si="1">B15-B14</f>
        <v>1524.320200000001</v>
      </c>
      <c r="G14" s="3">
        <v>2026</v>
      </c>
      <c r="H14" s="3">
        <f t="shared" ref="H14:H38" si="2">$E$45*POWER((1-$E$44),(G14-2024))</f>
        <v>3.61E-2</v>
      </c>
      <c r="I14" s="6">
        <f t="shared" ref="I14:I38" si="3">$E$42*POWER((1-$E$43),(G14-2024))</f>
        <v>276165000</v>
      </c>
      <c r="J14" s="6">
        <f t="shared" ref="J14:J38" si="4">$E$51*POWER((1-$E$47),(G14-2024))</f>
        <v>27407120</v>
      </c>
      <c r="K14" s="6">
        <f t="shared" ref="K14:K38" si="5">$E$52*POWER((1-$E$48),(G14-2024))</f>
        <v>10135363.799999999</v>
      </c>
      <c r="L14" s="6">
        <f t="shared" ref="L14:L38" si="6">$E$53*POWER((1-$E$49),(G14-2024))</f>
        <v>18447100</v>
      </c>
    </row>
    <row r="15" spans="1:12" ht="15" customHeight="1" x14ac:dyDescent="0.25">
      <c r="A15" s="3">
        <v>2025</v>
      </c>
      <c r="B15" s="3">
        <f t="shared" si="0"/>
        <v>4464.682600000001</v>
      </c>
      <c r="D15" s="3">
        <v>2026</v>
      </c>
      <c r="E15" s="3">
        <f t="shared" si="1"/>
        <v>1514.2669999999989</v>
      </c>
      <c r="G15" s="3">
        <v>2027</v>
      </c>
      <c r="H15" s="3">
        <f t="shared" si="2"/>
        <v>3.4294999999999999E-2</v>
      </c>
      <c r="I15" s="6">
        <f t="shared" si="3"/>
        <v>262356749.99999997</v>
      </c>
      <c r="J15" s="6">
        <f t="shared" si="4"/>
        <v>26036763.999999996</v>
      </c>
      <c r="K15" s="6">
        <f t="shared" si="5"/>
        <v>9628595.6099999994</v>
      </c>
      <c r="L15" s="6">
        <f t="shared" si="6"/>
        <v>17524744.999999996</v>
      </c>
    </row>
    <row r="16" spans="1:12" ht="15" customHeight="1" x14ac:dyDescent="0.25">
      <c r="A16" s="3">
        <v>2026</v>
      </c>
      <c r="B16" s="3">
        <f t="shared" si="0"/>
        <v>5978.9495999999999</v>
      </c>
      <c r="D16" s="3">
        <v>2027</v>
      </c>
      <c r="E16" s="3">
        <f t="shared" si="1"/>
        <v>1504.2138000000004</v>
      </c>
      <c r="G16" s="3">
        <v>2028</v>
      </c>
      <c r="H16" s="3">
        <f t="shared" si="2"/>
        <v>3.2580249999999998E-2</v>
      </c>
      <c r="I16" s="6">
        <f t="shared" si="3"/>
        <v>249238912.5</v>
      </c>
      <c r="J16" s="6">
        <f t="shared" si="4"/>
        <v>24734925.800000001</v>
      </c>
      <c r="K16" s="6">
        <f t="shared" si="5"/>
        <v>9147165.8294999991</v>
      </c>
      <c r="L16" s="6">
        <f t="shared" si="6"/>
        <v>16648507.75</v>
      </c>
    </row>
    <row r="17" spans="1:12" ht="15" customHeight="1" x14ac:dyDescent="0.25">
      <c r="A17" s="3">
        <v>2027</v>
      </c>
      <c r="B17" s="3">
        <f t="shared" si="0"/>
        <v>7483.1634000000004</v>
      </c>
      <c r="D17" s="3">
        <v>2028</v>
      </c>
      <c r="E17" s="3">
        <f t="shared" si="1"/>
        <v>1494.1605999999983</v>
      </c>
      <c r="G17" s="3">
        <v>2029</v>
      </c>
      <c r="H17" s="3">
        <f t="shared" si="2"/>
        <v>3.0951237499999999E-2</v>
      </c>
      <c r="I17" s="6">
        <f t="shared" si="3"/>
        <v>236776966.875</v>
      </c>
      <c r="J17" s="6">
        <f t="shared" si="4"/>
        <v>23498179.509999998</v>
      </c>
      <c r="K17" s="6">
        <f t="shared" si="5"/>
        <v>8689807.5380249992</v>
      </c>
      <c r="L17" s="6">
        <f t="shared" si="6"/>
        <v>15816082.362499999</v>
      </c>
    </row>
    <row r="18" spans="1:12" ht="15" customHeight="1" x14ac:dyDescent="0.25">
      <c r="A18" s="3">
        <v>2028</v>
      </c>
      <c r="B18" s="3">
        <f t="shared" si="0"/>
        <v>8977.3239999999987</v>
      </c>
      <c r="D18" s="3">
        <v>2029</v>
      </c>
      <c r="E18" s="3">
        <f t="shared" si="1"/>
        <v>1484.1074000000026</v>
      </c>
      <c r="G18" s="3">
        <v>2030</v>
      </c>
      <c r="H18" s="3">
        <f t="shared" si="2"/>
        <v>2.9403675624999997E-2</v>
      </c>
      <c r="I18" s="6">
        <f t="shared" si="3"/>
        <v>224938118.53124997</v>
      </c>
      <c r="J18" s="6">
        <f t="shared" si="4"/>
        <v>22323270.534499999</v>
      </c>
      <c r="K18" s="6">
        <f t="shared" si="5"/>
        <v>8255317.1611237489</v>
      </c>
      <c r="L18" s="6">
        <f t="shared" si="6"/>
        <v>15025278.244374998</v>
      </c>
    </row>
    <row r="19" spans="1:12" ht="15" customHeight="1" x14ac:dyDescent="0.25">
      <c r="A19" s="3">
        <v>2029</v>
      </c>
      <c r="B19" s="3">
        <f t="shared" si="0"/>
        <v>10461.431400000001</v>
      </c>
      <c r="D19" s="3">
        <v>2030</v>
      </c>
      <c r="E19" s="3">
        <f t="shared" si="1"/>
        <v>1474.0541999999987</v>
      </c>
      <c r="G19" s="3">
        <v>2031</v>
      </c>
      <c r="H19" s="3">
        <f t="shared" si="2"/>
        <v>2.7933491843749998E-2</v>
      </c>
      <c r="I19" s="6">
        <f t="shared" si="3"/>
        <v>213691212.60468748</v>
      </c>
      <c r="J19" s="6">
        <f t="shared" si="4"/>
        <v>21207107.007774998</v>
      </c>
      <c r="K19" s="6">
        <f t="shared" si="5"/>
        <v>7842551.3030675622</v>
      </c>
      <c r="L19" s="6">
        <f t="shared" si="6"/>
        <v>14274014.332156248</v>
      </c>
    </row>
    <row r="20" spans="1:12" ht="15" customHeight="1" x14ac:dyDescent="0.25">
      <c r="A20" s="3">
        <v>2030</v>
      </c>
      <c r="B20" s="3">
        <f t="shared" si="0"/>
        <v>11935.4856</v>
      </c>
      <c r="D20" s="3">
        <v>2031</v>
      </c>
      <c r="E20" s="3">
        <f t="shared" si="1"/>
        <v>1464.0010000000002</v>
      </c>
      <c r="G20" s="3">
        <v>2032</v>
      </c>
      <c r="H20" s="3">
        <f t="shared" si="2"/>
        <v>2.6536817251562501E-2</v>
      </c>
      <c r="I20" s="6">
        <f t="shared" si="3"/>
        <v>203006651.97445312</v>
      </c>
      <c r="J20" s="6">
        <f t="shared" si="4"/>
        <v>20146751.657386251</v>
      </c>
      <c r="K20" s="6">
        <f t="shared" si="5"/>
        <v>7450423.7379141841</v>
      </c>
      <c r="L20" s="6">
        <f t="shared" si="6"/>
        <v>13560313.615548437</v>
      </c>
    </row>
    <row r="21" spans="1:12" ht="15" customHeight="1" x14ac:dyDescent="0.25">
      <c r="A21" s="3">
        <v>2031</v>
      </c>
      <c r="B21" s="3">
        <f t="shared" si="0"/>
        <v>13399.4866</v>
      </c>
      <c r="D21" s="3">
        <v>2032</v>
      </c>
      <c r="E21" s="3">
        <f t="shared" si="1"/>
        <v>1453.9477999999999</v>
      </c>
      <c r="G21" s="3">
        <v>2033</v>
      </c>
      <c r="H21" s="3">
        <f t="shared" si="2"/>
        <v>2.5209976388984371E-2</v>
      </c>
      <c r="I21" s="6">
        <f t="shared" si="3"/>
        <v>192856319.37573045</v>
      </c>
      <c r="J21" s="6">
        <f t="shared" si="4"/>
        <v>19139414.074516933</v>
      </c>
      <c r="K21" s="6">
        <f t="shared" si="5"/>
        <v>7077902.5510184746</v>
      </c>
      <c r="L21" s="6">
        <f t="shared" si="6"/>
        <v>12882297.934771014</v>
      </c>
    </row>
    <row r="22" spans="1:12" ht="15" customHeight="1" x14ac:dyDescent="0.25">
      <c r="A22" s="3">
        <v>2032</v>
      </c>
      <c r="B22" s="3">
        <f t="shared" si="0"/>
        <v>14853.4344</v>
      </c>
      <c r="D22" s="3">
        <v>2033</v>
      </c>
      <c r="E22" s="3">
        <f t="shared" si="1"/>
        <v>1443.8946000000014</v>
      </c>
      <c r="G22" s="3">
        <v>2034</v>
      </c>
      <c r="H22" s="3">
        <f t="shared" si="2"/>
        <v>2.3949477569535155E-2</v>
      </c>
      <c r="I22" s="6">
        <f t="shared" si="3"/>
        <v>183213503.40694395</v>
      </c>
      <c r="J22" s="6">
        <f t="shared" si="4"/>
        <v>18182443.370791089</v>
      </c>
      <c r="K22" s="6">
        <f t="shared" si="5"/>
        <v>6724007.4234675514</v>
      </c>
      <c r="L22" s="6">
        <f t="shared" si="6"/>
        <v>12238183.038032465</v>
      </c>
    </row>
    <row r="23" spans="1:12" ht="15" customHeight="1" x14ac:dyDescent="0.25">
      <c r="A23" s="3">
        <v>2033</v>
      </c>
      <c r="B23" s="3">
        <f t="shared" si="0"/>
        <v>16297.329000000002</v>
      </c>
      <c r="D23" s="3">
        <v>2034</v>
      </c>
      <c r="E23" s="3">
        <f t="shared" si="1"/>
        <v>1433.8414000000012</v>
      </c>
      <c r="G23" s="3">
        <v>2035</v>
      </c>
      <c r="H23" s="3">
        <f t="shared" si="2"/>
        <v>2.2752003691058394E-2</v>
      </c>
      <c r="I23" s="6">
        <f t="shared" si="3"/>
        <v>174052828.23659673</v>
      </c>
      <c r="J23" s="6">
        <f t="shared" si="4"/>
        <v>17273321.202251535</v>
      </c>
      <c r="K23" s="6">
        <f t="shared" si="5"/>
        <v>6387807.0522941733</v>
      </c>
      <c r="L23" s="6">
        <f t="shared" si="6"/>
        <v>11626273.88613084</v>
      </c>
    </row>
    <row r="24" spans="1:12" ht="15" customHeight="1" x14ac:dyDescent="0.25">
      <c r="A24" s="3">
        <v>2034</v>
      </c>
      <c r="B24" s="3">
        <f t="shared" si="0"/>
        <v>17731.170400000003</v>
      </c>
      <c r="D24" s="3">
        <v>2035</v>
      </c>
      <c r="E24" s="3">
        <f t="shared" si="1"/>
        <v>1423.7882000000027</v>
      </c>
      <c r="G24" s="3">
        <v>2036</v>
      </c>
      <c r="H24" s="3">
        <f t="shared" si="2"/>
        <v>2.1614403506505477E-2</v>
      </c>
      <c r="I24" s="6">
        <f t="shared" si="3"/>
        <v>165350186.82476687</v>
      </c>
      <c r="J24" s="6">
        <f t="shared" si="4"/>
        <v>16409655.142138956</v>
      </c>
      <c r="K24" s="6">
        <f t="shared" si="5"/>
        <v>6068416.6996794641</v>
      </c>
      <c r="L24" s="6">
        <f t="shared" si="6"/>
        <v>11044960.191824298</v>
      </c>
    </row>
    <row r="25" spans="1:12" ht="15" customHeight="1" x14ac:dyDescent="0.25">
      <c r="A25" s="3">
        <v>2035</v>
      </c>
      <c r="B25" s="3">
        <f t="shared" si="0"/>
        <v>19154.958600000005</v>
      </c>
      <c r="D25" s="3">
        <v>2036</v>
      </c>
      <c r="E25" s="3">
        <f t="shared" si="1"/>
        <v>1413.7349999999969</v>
      </c>
      <c r="G25" s="3">
        <v>2037</v>
      </c>
      <c r="H25" s="3">
        <f t="shared" si="2"/>
        <v>2.0533683331180202E-2</v>
      </c>
      <c r="I25" s="6">
        <f t="shared" si="3"/>
        <v>157082677.48352855</v>
      </c>
      <c r="J25" s="6">
        <f t="shared" si="4"/>
        <v>15589172.385032009</v>
      </c>
      <c r="K25" s="6">
        <f t="shared" si="5"/>
        <v>5764995.8646954913</v>
      </c>
      <c r="L25" s="6">
        <f t="shared" si="6"/>
        <v>10492712.182233082</v>
      </c>
    </row>
    <row r="26" spans="1:12" ht="15" customHeight="1" x14ac:dyDescent="0.25">
      <c r="A26" s="3">
        <v>2036</v>
      </c>
      <c r="B26" s="3">
        <f t="shared" si="0"/>
        <v>20568.693600000002</v>
      </c>
      <c r="D26" s="3">
        <v>2037</v>
      </c>
      <c r="E26" s="3">
        <f t="shared" si="1"/>
        <v>1403.6818000000021</v>
      </c>
      <c r="G26" s="3">
        <v>2038</v>
      </c>
      <c r="H26" s="3">
        <f t="shared" si="2"/>
        <v>1.9506999164621192E-2</v>
      </c>
      <c r="I26" s="6">
        <f t="shared" si="3"/>
        <v>149228543.60935211</v>
      </c>
      <c r="J26" s="6">
        <f t="shared" si="4"/>
        <v>14809713.765780408</v>
      </c>
      <c r="K26" s="6">
        <f t="shared" si="5"/>
        <v>5476746.0714607164</v>
      </c>
      <c r="L26" s="6">
        <f t="shared" si="6"/>
        <v>9968076.5731214285</v>
      </c>
    </row>
    <row r="27" spans="1:12" ht="15" customHeight="1" x14ac:dyDescent="0.25">
      <c r="A27" s="3">
        <v>2037</v>
      </c>
      <c r="B27" s="3">
        <f t="shared" si="0"/>
        <v>21972.375400000004</v>
      </c>
      <c r="D27" s="3">
        <v>2038</v>
      </c>
      <c r="E27" s="3">
        <f t="shared" si="1"/>
        <v>1393.6285999999964</v>
      </c>
      <c r="G27" s="3">
        <v>2039</v>
      </c>
      <c r="H27" s="3">
        <f t="shared" si="2"/>
        <v>1.8531649206390135E-2</v>
      </c>
      <c r="I27" s="6">
        <f t="shared" si="3"/>
        <v>141767116.42888451</v>
      </c>
      <c r="J27" s="6">
        <f t="shared" si="4"/>
        <v>14069228.07749139</v>
      </c>
      <c r="K27" s="6">
        <f t="shared" si="5"/>
        <v>5202908.7678876808</v>
      </c>
      <c r="L27" s="6">
        <f t="shared" si="6"/>
        <v>9469672.7444653586</v>
      </c>
    </row>
    <row r="28" spans="1:12" ht="15" customHeight="1" x14ac:dyDescent="0.25">
      <c r="A28" s="3">
        <v>2038</v>
      </c>
      <c r="B28" s="3">
        <f t="shared" si="0"/>
        <v>23366.004000000001</v>
      </c>
      <c r="D28" s="3">
        <v>2039</v>
      </c>
      <c r="E28" s="3">
        <f t="shared" si="1"/>
        <v>1383.5754000000015</v>
      </c>
      <c r="G28" s="3">
        <v>2040</v>
      </c>
      <c r="H28" s="3">
        <f t="shared" si="2"/>
        <v>1.7605066746070624E-2</v>
      </c>
      <c r="I28" s="6">
        <f t="shared" si="3"/>
        <v>134678760.60744029</v>
      </c>
      <c r="J28" s="6">
        <f t="shared" si="4"/>
        <v>13365766.673616819</v>
      </c>
      <c r="K28" s="6">
        <f t="shared" si="5"/>
        <v>4942763.3294932963</v>
      </c>
      <c r="L28" s="6">
        <f t="shared" si="6"/>
        <v>8996189.1072420888</v>
      </c>
    </row>
    <row r="29" spans="1:12" ht="15" customHeight="1" x14ac:dyDescent="0.25">
      <c r="A29" s="3">
        <v>2039</v>
      </c>
      <c r="B29" s="3">
        <f t="shared" si="0"/>
        <v>24749.579400000002</v>
      </c>
      <c r="D29" s="3">
        <v>2040</v>
      </c>
      <c r="E29" s="3">
        <f t="shared" si="1"/>
        <v>1373.5222000000031</v>
      </c>
      <c r="G29" s="3">
        <v>2041</v>
      </c>
      <c r="H29" s="3">
        <f t="shared" si="2"/>
        <v>1.6724813408767095E-2</v>
      </c>
      <c r="I29" s="6">
        <f t="shared" si="3"/>
        <v>127944822.57706827</v>
      </c>
      <c r="J29" s="6">
        <f t="shared" si="4"/>
        <v>12697478.339935977</v>
      </c>
      <c r="K29" s="6">
        <f t="shared" si="5"/>
        <v>4695625.1630186317</v>
      </c>
      <c r="L29" s="6">
        <f t="shared" si="6"/>
        <v>8546379.6518799849</v>
      </c>
    </row>
    <row r="30" spans="1:12" ht="15" customHeight="1" x14ac:dyDescent="0.25">
      <c r="A30" s="3">
        <v>2040</v>
      </c>
      <c r="B30" s="3">
        <f t="shared" si="0"/>
        <v>26123.101600000005</v>
      </c>
      <c r="D30" s="3">
        <v>2041</v>
      </c>
      <c r="E30" s="3">
        <f t="shared" si="1"/>
        <v>1363.4689999999973</v>
      </c>
      <c r="G30" s="3">
        <v>2042</v>
      </c>
      <c r="H30" s="3">
        <f t="shared" si="2"/>
        <v>1.5888572738328739E-2</v>
      </c>
      <c r="I30" s="6">
        <f t="shared" si="3"/>
        <v>121547581.44821486</v>
      </c>
      <c r="J30" s="6">
        <f t="shared" si="4"/>
        <v>12062604.422939179</v>
      </c>
      <c r="K30" s="6">
        <f t="shared" si="5"/>
        <v>4460843.9048677003</v>
      </c>
      <c r="L30" s="6">
        <f t="shared" si="6"/>
        <v>8119060.6692859856</v>
      </c>
    </row>
    <row r="31" spans="1:12" ht="15" customHeight="1" x14ac:dyDescent="0.25">
      <c r="A31" s="3">
        <v>2041</v>
      </c>
      <c r="B31" s="3">
        <f t="shared" si="0"/>
        <v>27486.570600000003</v>
      </c>
      <c r="D31" s="3">
        <v>2042</v>
      </c>
      <c r="E31" s="3">
        <f t="shared" si="1"/>
        <v>1353.4157999999989</v>
      </c>
      <c r="G31" s="3">
        <v>2043</v>
      </c>
      <c r="H31" s="3">
        <f t="shared" si="2"/>
        <v>1.5094144101412301E-2</v>
      </c>
      <c r="I31" s="6">
        <f t="shared" si="3"/>
        <v>115470202.37580411</v>
      </c>
      <c r="J31" s="6">
        <f t="shared" si="4"/>
        <v>11459474.20179222</v>
      </c>
      <c r="K31" s="6">
        <f t="shared" si="5"/>
        <v>4237801.7096243147</v>
      </c>
      <c r="L31" s="6">
        <f t="shared" si="6"/>
        <v>7713107.6358216861</v>
      </c>
    </row>
    <row r="32" spans="1:12" ht="15" customHeight="1" x14ac:dyDescent="0.25">
      <c r="A32" s="3">
        <v>2042</v>
      </c>
      <c r="B32" s="3">
        <f t="shared" si="0"/>
        <v>28839.986400000002</v>
      </c>
      <c r="D32" s="3">
        <v>2043</v>
      </c>
      <c r="E32" s="3">
        <f t="shared" si="1"/>
        <v>1343.3626000000004</v>
      </c>
      <c r="G32" s="3">
        <v>2044</v>
      </c>
      <c r="H32" s="3">
        <f t="shared" si="2"/>
        <v>1.4339436896341687E-2</v>
      </c>
      <c r="I32" s="6">
        <f t="shared" si="3"/>
        <v>109696692.2570139</v>
      </c>
      <c r="J32" s="6">
        <f t="shared" si="4"/>
        <v>10886500.491702609</v>
      </c>
      <c r="K32" s="6">
        <f t="shared" si="5"/>
        <v>4025911.6241430989</v>
      </c>
      <c r="L32" s="6">
        <f t="shared" si="6"/>
        <v>7327452.2540306021</v>
      </c>
    </row>
    <row r="33" spans="1:12" ht="15" customHeight="1" x14ac:dyDescent="0.25">
      <c r="A33" s="3">
        <v>2043</v>
      </c>
      <c r="B33" s="3">
        <f t="shared" si="0"/>
        <v>30183.349000000002</v>
      </c>
      <c r="D33" s="3">
        <v>2044</v>
      </c>
      <c r="E33" s="3">
        <f t="shared" si="1"/>
        <v>1333.3094000000019</v>
      </c>
      <c r="G33" s="3">
        <v>2045</v>
      </c>
      <c r="H33" s="3">
        <f t="shared" si="2"/>
        <v>1.3622465051524604E-2</v>
      </c>
      <c r="I33" s="6">
        <f t="shared" si="3"/>
        <v>104211857.64416322</v>
      </c>
      <c r="J33" s="6">
        <f t="shared" si="4"/>
        <v>10342175.467117479</v>
      </c>
      <c r="K33" s="6">
        <f t="shared" si="5"/>
        <v>3824616.0429359446</v>
      </c>
      <c r="L33" s="6">
        <f t="shared" si="6"/>
        <v>6961079.6413290724</v>
      </c>
    </row>
    <row r="34" spans="1:12" ht="15" customHeight="1" x14ac:dyDescent="0.25">
      <c r="A34" s="3">
        <v>2044</v>
      </c>
      <c r="B34" s="3">
        <f t="shared" si="0"/>
        <v>31516.658400000004</v>
      </c>
      <c r="D34" s="3">
        <v>2045</v>
      </c>
      <c r="E34" s="3">
        <f t="shared" si="1"/>
        <v>1323.2561999999998</v>
      </c>
      <c r="G34" s="3">
        <v>2046</v>
      </c>
      <c r="H34" s="3">
        <f t="shared" si="2"/>
        <v>1.2941341798948371E-2</v>
      </c>
      <c r="I34" s="6">
        <f t="shared" si="3"/>
        <v>99001264.761955038</v>
      </c>
      <c r="J34" s="6">
        <f t="shared" si="4"/>
        <v>9825066.6937616039</v>
      </c>
      <c r="K34" s="6">
        <f t="shared" si="5"/>
        <v>3633385.2407891471</v>
      </c>
      <c r="L34" s="6">
        <f t="shared" si="6"/>
        <v>6613025.659262618</v>
      </c>
    </row>
    <row r="35" spans="1:12" ht="15" customHeight="1" x14ac:dyDescent="0.25">
      <c r="A35" s="3">
        <v>2045</v>
      </c>
      <c r="B35" s="3">
        <f t="shared" si="0"/>
        <v>32839.914600000004</v>
      </c>
      <c r="D35" s="3">
        <v>2046</v>
      </c>
      <c r="E35" s="3">
        <f t="shared" si="1"/>
        <v>1313.2030000000013</v>
      </c>
      <c r="G35" s="3">
        <v>2047</v>
      </c>
      <c r="H35" s="3">
        <f t="shared" si="2"/>
        <v>1.2294274709000954E-2</v>
      </c>
      <c r="I35" s="6">
        <f t="shared" si="3"/>
        <v>94051201.523857296</v>
      </c>
      <c r="J35" s="6">
        <f t="shared" si="4"/>
        <v>9333813.3590735234</v>
      </c>
      <c r="K35" s="6">
        <f t="shared" si="5"/>
        <v>3451715.9787496896</v>
      </c>
      <c r="L35" s="6">
        <f t="shared" si="6"/>
        <v>6282374.3762994874</v>
      </c>
    </row>
    <row r="36" spans="1:12" ht="15" customHeight="1" x14ac:dyDescent="0.25">
      <c r="A36" s="3">
        <v>2046</v>
      </c>
      <c r="B36" s="3">
        <f t="shared" si="0"/>
        <v>34153.117600000005</v>
      </c>
      <c r="D36" s="3">
        <v>2047</v>
      </c>
      <c r="E36" s="3">
        <f t="shared" si="1"/>
        <v>1303.1497999999992</v>
      </c>
      <c r="G36" s="3">
        <v>2048</v>
      </c>
      <c r="H36" s="3">
        <f t="shared" si="2"/>
        <v>1.1679560973550907E-2</v>
      </c>
      <c r="I36" s="6">
        <f t="shared" si="3"/>
        <v>89348641.44766444</v>
      </c>
      <c r="J36" s="6">
        <f t="shared" si="4"/>
        <v>8867122.6911198478</v>
      </c>
      <c r="K36" s="6">
        <f t="shared" si="5"/>
        <v>3279130.1798122055</v>
      </c>
      <c r="L36" s="6">
        <f t="shared" si="6"/>
        <v>5968255.6574845128</v>
      </c>
    </row>
    <row r="37" spans="1:12" ht="15" customHeight="1" x14ac:dyDescent="0.25">
      <c r="A37" s="3">
        <v>2047</v>
      </c>
      <c r="B37" s="3">
        <f t="shared" si="0"/>
        <v>35456.267400000004</v>
      </c>
      <c r="D37" s="3">
        <v>2048</v>
      </c>
      <c r="E37" s="3">
        <f t="shared" si="1"/>
        <v>1293.0965999999971</v>
      </c>
      <c r="G37" s="3">
        <v>2049</v>
      </c>
      <c r="H37" s="3">
        <f t="shared" si="2"/>
        <v>1.109558292487336E-2</v>
      </c>
      <c r="I37" s="6">
        <f t="shared" si="3"/>
        <v>84881209.3752812</v>
      </c>
      <c r="J37" s="6">
        <f t="shared" si="4"/>
        <v>8423766.5565638542</v>
      </c>
      <c r="K37" s="6">
        <f t="shared" si="5"/>
        <v>3115173.6708215945</v>
      </c>
      <c r="L37" s="6">
        <f t="shared" si="6"/>
        <v>5669842.8746102871</v>
      </c>
    </row>
    <row r="38" spans="1:12" ht="15" customHeight="1" x14ac:dyDescent="0.25">
      <c r="A38" s="3">
        <v>2048</v>
      </c>
      <c r="B38" s="3">
        <f t="shared" si="0"/>
        <v>36749.364000000001</v>
      </c>
      <c r="D38" s="3">
        <v>2049</v>
      </c>
      <c r="E38" s="3">
        <f t="shared" si="1"/>
        <v>1283.0434000000023</v>
      </c>
      <c r="G38" s="3">
        <v>2050</v>
      </c>
      <c r="H38" s="3">
        <f t="shared" si="2"/>
        <v>1.0540803778629693E-2</v>
      </c>
      <c r="I38" s="6">
        <f t="shared" si="3"/>
        <v>80637148.906517148</v>
      </c>
      <c r="J38" s="6">
        <f t="shared" si="4"/>
        <v>8002578.228735663</v>
      </c>
      <c r="K38" s="6">
        <f t="shared" si="5"/>
        <v>2959414.987280515</v>
      </c>
      <c r="L38" s="6">
        <f t="shared" si="6"/>
        <v>5386350.7308797734</v>
      </c>
    </row>
    <row r="39" spans="1:12" ht="15" customHeight="1" x14ac:dyDescent="0.25">
      <c r="A39" s="3">
        <v>2049</v>
      </c>
      <c r="B39" s="3">
        <f t="shared" si="0"/>
        <v>38032.407400000004</v>
      </c>
      <c r="D39" s="3">
        <v>2050</v>
      </c>
      <c r="E39" s="3">
        <f t="shared" si="1"/>
        <v>1272.9902000000002</v>
      </c>
    </row>
    <row r="40" spans="1:12" ht="15" customHeight="1" x14ac:dyDescent="0.25">
      <c r="A40" s="3">
        <v>2050</v>
      </c>
      <c r="B40" s="3">
        <f t="shared" si="0"/>
        <v>39305.397600000004</v>
      </c>
    </row>
    <row r="42" spans="1:12" ht="15" customHeight="1" x14ac:dyDescent="0.25">
      <c r="A42" s="12" t="s">
        <v>7</v>
      </c>
      <c r="B42" s="12"/>
      <c r="C42" s="12"/>
      <c r="D42" s="12"/>
      <c r="E42" s="3">
        <f>0.306*1000000000</f>
        <v>306000000</v>
      </c>
      <c r="H42" s="3" t="s">
        <v>35</v>
      </c>
    </row>
    <row r="43" spans="1:12" ht="15" customHeight="1" x14ac:dyDescent="0.25">
      <c r="A43" s="8" t="s">
        <v>16</v>
      </c>
      <c r="B43" s="8"/>
      <c r="C43" s="8"/>
      <c r="D43" s="8"/>
      <c r="E43" s="3">
        <f>5/100</f>
        <v>0.05</v>
      </c>
      <c r="H43" s="3">
        <v>52</v>
      </c>
    </row>
    <row r="44" spans="1:12" ht="15" customHeight="1" x14ac:dyDescent="0.25">
      <c r="A44" s="9" t="s">
        <v>8</v>
      </c>
      <c r="B44" s="9"/>
      <c r="C44" s="9"/>
      <c r="D44" s="9"/>
      <c r="E44" s="3">
        <f>5/100</f>
        <v>0.05</v>
      </c>
    </row>
    <row r="45" spans="1:12" ht="15" customHeight="1" x14ac:dyDescent="0.25">
      <c r="A45" s="10" t="s">
        <v>9</v>
      </c>
      <c r="B45" s="10"/>
      <c r="C45" s="10"/>
      <c r="D45" s="10"/>
      <c r="E45" s="3">
        <f>4/100</f>
        <v>0.04</v>
      </c>
      <c r="H45" s="3" t="s">
        <v>22</v>
      </c>
    </row>
    <row r="46" spans="1:12" ht="15" customHeight="1" x14ac:dyDescent="0.25">
      <c r="H46" s="3">
        <v>19.23</v>
      </c>
    </row>
    <row r="47" spans="1:12" ht="15" customHeight="1" x14ac:dyDescent="0.25">
      <c r="A47" s="12" t="s">
        <v>24</v>
      </c>
      <c r="B47" s="12"/>
      <c r="C47" s="12"/>
      <c r="D47" s="12"/>
      <c r="E47" s="3">
        <f>5/100</f>
        <v>0.05</v>
      </c>
    </row>
    <row r="48" spans="1:12" ht="15" customHeight="1" x14ac:dyDescent="0.25">
      <c r="A48" s="8" t="s">
        <v>23</v>
      </c>
      <c r="B48" s="8"/>
      <c r="C48" s="8"/>
      <c r="D48" s="8"/>
      <c r="E48" s="3">
        <f>5/100</f>
        <v>0.05</v>
      </c>
      <c r="H48" s="3" t="s">
        <v>26</v>
      </c>
    </row>
    <row r="49" spans="1:8" ht="15" customHeight="1" x14ac:dyDescent="0.25">
      <c r="A49" s="9" t="s">
        <v>25</v>
      </c>
      <c r="B49" s="9"/>
      <c r="C49" s="9"/>
      <c r="D49" s="9"/>
      <c r="E49" s="3">
        <f>5/100</f>
        <v>0.05</v>
      </c>
      <c r="H49" s="3">
        <v>35</v>
      </c>
    </row>
    <row r="51" spans="1:8" ht="15" customHeight="1" x14ac:dyDescent="0.25">
      <c r="A51" s="12" t="s">
        <v>27</v>
      </c>
      <c r="B51" s="12"/>
      <c r="C51" s="12"/>
      <c r="D51" s="12"/>
      <c r="E51" s="3">
        <f>H43*1000*H52</f>
        <v>30368000</v>
      </c>
      <c r="H51" s="3" t="s">
        <v>30</v>
      </c>
    </row>
    <row r="52" spans="1:8" ht="15" customHeight="1" x14ac:dyDescent="0.25">
      <c r="A52" s="8" t="s">
        <v>28</v>
      </c>
      <c r="B52" s="8"/>
      <c r="C52" s="8"/>
      <c r="D52" s="8"/>
      <c r="E52" s="3">
        <f>H46*1000*H52</f>
        <v>11230320</v>
      </c>
      <c r="H52" s="3">
        <f>584</f>
        <v>584</v>
      </c>
    </row>
    <row r="53" spans="1:8" ht="15" customHeight="1" x14ac:dyDescent="0.25">
      <c r="A53" s="9" t="s">
        <v>29</v>
      </c>
      <c r="B53" s="9"/>
      <c r="C53" s="9"/>
      <c r="D53" s="9"/>
      <c r="E53" s="3">
        <f>H49*1000*H52</f>
        <v>20440000</v>
      </c>
    </row>
  </sheetData>
  <mergeCells count="10">
    <mergeCell ref="A48:D48"/>
    <mergeCell ref="A49:D49"/>
    <mergeCell ref="A51:D51"/>
    <mergeCell ref="A52:D52"/>
    <mergeCell ref="A53:D53"/>
    <mergeCell ref="A42:D42"/>
    <mergeCell ref="A43:D43"/>
    <mergeCell ref="A44:D44"/>
    <mergeCell ref="A45:D45"/>
    <mergeCell ref="A47:D4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07C3-F775-4274-B81A-8B8774981C20}">
  <dimension ref="A1:K28"/>
  <sheetViews>
    <sheetView workbookViewId="0">
      <selection activeCell="J10" sqref="J10"/>
    </sheetView>
  </sheetViews>
  <sheetFormatPr defaultColWidth="23.77734375" defaultRowHeight="15" customHeight="1" x14ac:dyDescent="0.25"/>
  <cols>
    <col min="1" max="16384" width="23.77734375" style="3"/>
  </cols>
  <sheetData>
    <row r="1" spans="1:11" ht="15" customHeight="1" x14ac:dyDescent="0.25">
      <c r="A1" s="11" t="s">
        <v>17</v>
      </c>
      <c r="B1" s="11"/>
      <c r="C1" s="11"/>
      <c r="D1" s="11"/>
    </row>
    <row r="2" spans="1:11" ht="15" customHeight="1" x14ac:dyDescent="0.25">
      <c r="A2" s="1" t="s">
        <v>2</v>
      </c>
      <c r="B2" s="1" t="s">
        <v>3</v>
      </c>
      <c r="C2" s="1" t="s">
        <v>6</v>
      </c>
      <c r="D2" s="1" t="s">
        <v>5</v>
      </c>
      <c r="F2" s="2" t="s">
        <v>0</v>
      </c>
      <c r="G2" s="2" t="s">
        <v>14</v>
      </c>
      <c r="H2" s="2" t="s">
        <v>15</v>
      </c>
      <c r="J2" s="5" t="s">
        <v>12</v>
      </c>
    </row>
    <row r="3" spans="1:11" ht="15" customHeight="1" x14ac:dyDescent="0.25">
      <c r="A3" s="3">
        <v>2025</v>
      </c>
      <c r="B3" s="3">
        <v>1524.320200000001</v>
      </c>
      <c r="C3" s="3">
        <f>B3*Data!H13</f>
        <v>57.92416760000004</v>
      </c>
      <c r="D3" s="3">
        <f>C3*Data!I13</f>
        <v>16838555521.320011</v>
      </c>
      <c r="F3" s="3">
        <v>5</v>
      </c>
      <c r="G3" s="3">
        <f>1/(POWER((1+$F$3/100),(A3-2024)))</f>
        <v>0.95238095238095233</v>
      </c>
      <c r="H3" s="3">
        <f>D3*G3</f>
        <v>16036719544.114296</v>
      </c>
      <c r="I3" s="3">
        <f>SUM($H$3:H3)/1000000000</f>
        <v>16.036719544114295</v>
      </c>
      <c r="J3" s="3">
        <f>SUM(H3:H28)/100000000/10</f>
        <v>107.79566078861799</v>
      </c>
      <c r="K3" s="3" t="s">
        <v>13</v>
      </c>
    </row>
    <row r="4" spans="1:11" ht="15" customHeight="1" x14ac:dyDescent="0.25">
      <c r="A4" s="3">
        <v>2026</v>
      </c>
      <c r="B4" s="3">
        <v>1514.2669999999989</v>
      </c>
      <c r="C4" s="3">
        <f>B4*Data!H14</f>
        <v>54.665038699999961</v>
      </c>
      <c r="D4" s="3">
        <f>C4*Data!I14</f>
        <v>15096570412.585489</v>
      </c>
      <c r="G4" s="3">
        <f t="shared" ref="G4:G27" si="0">1/(POWER((1+$F$3/100),(A4-2024)))</f>
        <v>0.90702947845804982</v>
      </c>
      <c r="H4" s="3">
        <f t="shared" ref="H4:H27" si="1">D4*G4</f>
        <v>13693034387.832642</v>
      </c>
      <c r="I4" s="3">
        <f>SUM($H$3:H4)/1000000000</f>
        <v>29.729753931946938</v>
      </c>
    </row>
    <row r="5" spans="1:11" ht="15" customHeight="1" x14ac:dyDescent="0.25">
      <c r="A5" s="3">
        <v>2027</v>
      </c>
      <c r="B5" s="3">
        <v>1504.2138000000004</v>
      </c>
      <c r="C5" s="3">
        <f>B5*Data!H15</f>
        <v>51.587012271000013</v>
      </c>
      <c r="D5" s="3">
        <f>C5*Data!I15</f>
        <v>13534200881.629681</v>
      </c>
      <c r="G5" s="3">
        <f t="shared" si="0"/>
        <v>0.86383759853147601</v>
      </c>
      <c r="H5" s="3">
        <f t="shared" si="1"/>
        <v>11691351587.629568</v>
      </c>
      <c r="I5" s="3">
        <f>SUM($H$3:H5)/1000000000</f>
        <v>41.421105519576507</v>
      </c>
    </row>
    <row r="6" spans="1:11" ht="15" customHeight="1" x14ac:dyDescent="0.25">
      <c r="A6" s="3">
        <v>2028</v>
      </c>
      <c r="B6" s="3">
        <v>1494.1605999999983</v>
      </c>
      <c r="C6" s="3">
        <f>B6*Data!H16</f>
        <v>48.680125888149945</v>
      </c>
      <c r="D6" s="3">
        <f>C6*Data!I16</f>
        <v>12132981636.72559</v>
      </c>
      <c r="G6" s="3">
        <f t="shared" si="0"/>
        <v>0.82270247479188197</v>
      </c>
      <c r="H6" s="3">
        <f t="shared" si="1"/>
        <v>9981834019.1386013</v>
      </c>
      <c r="I6" s="3">
        <f>SUM($H$3:H6)/1000000000</f>
        <v>51.40293953871511</v>
      </c>
    </row>
    <row r="7" spans="1:11" ht="15" customHeight="1" x14ac:dyDescent="0.25">
      <c r="A7" s="3">
        <v>2029</v>
      </c>
      <c r="B7" s="3">
        <v>1484.1074000000026</v>
      </c>
      <c r="C7" s="3">
        <f>B7*Data!H17</f>
        <v>45.934960612907581</v>
      </c>
      <c r="D7" s="3">
        <f>C7*Data!I17</f>
        <v>10876340647.446848</v>
      </c>
      <c r="G7" s="3">
        <f t="shared" si="0"/>
        <v>0.78352616646845896</v>
      </c>
      <c r="H7" s="3">
        <f t="shared" si="1"/>
        <v>8521897492.6991053</v>
      </c>
      <c r="I7" s="3">
        <f>SUM($H$3:H7)/1000000000</f>
        <v>59.924837031414214</v>
      </c>
    </row>
    <row r="8" spans="1:11" ht="15" customHeight="1" x14ac:dyDescent="0.25">
      <c r="A8" s="3">
        <v>2030</v>
      </c>
      <c r="B8" s="3">
        <v>1474.0541999999987</v>
      </c>
      <c r="C8" s="3">
        <f>B8*Data!H18</f>
        <v>43.342611550468831</v>
      </c>
      <c r="D8" s="3">
        <f>C8*Data!I18</f>
        <v>9749405494.3932819</v>
      </c>
      <c r="G8" s="3">
        <f t="shared" si="0"/>
        <v>0.74621539663662761</v>
      </c>
      <c r="H8" s="3">
        <f t="shared" si="1"/>
        <v>7275156487.9699993</v>
      </c>
      <c r="I8" s="3">
        <f>SUM($H$3:H8)/1000000000</f>
        <v>67.199993519384222</v>
      </c>
    </row>
    <row r="9" spans="1:11" ht="15" customHeight="1" x14ac:dyDescent="0.25">
      <c r="A9" s="3">
        <v>2031</v>
      </c>
      <c r="B9" s="3">
        <v>1464.0010000000002</v>
      </c>
      <c r="C9" s="3">
        <f>B9*Data!H19</f>
        <v>40.89465999274185</v>
      </c>
      <c r="D9" s="3">
        <f>C9*Data!I19</f>
        <v>8738829482.905407</v>
      </c>
      <c r="G9" s="3">
        <f t="shared" si="0"/>
        <v>0.71068133013012147</v>
      </c>
      <c r="H9" s="3">
        <f t="shared" si="1"/>
        <v>6210522960.6915359</v>
      </c>
      <c r="I9" s="3">
        <f>SUM($H$3:H9)/1000000000</f>
        <v>73.410516480075742</v>
      </c>
    </row>
    <row r="10" spans="1:11" ht="15" customHeight="1" x14ac:dyDescent="0.25">
      <c r="A10" s="3">
        <v>2032</v>
      </c>
      <c r="B10" s="3">
        <v>1453.9477999999999</v>
      </c>
      <c r="C10" s="3">
        <f>B10*Data!H20</f>
        <v>38.58314706191134</v>
      </c>
      <c r="D10" s="3">
        <f>C10*Data!I20</f>
        <v>7832635507.6765785</v>
      </c>
      <c r="G10" s="3">
        <f t="shared" si="0"/>
        <v>0.67683936202868722</v>
      </c>
      <c r="H10" s="3">
        <f t="shared" si="1"/>
        <v>5301436020.0190582</v>
      </c>
      <c r="I10" s="3">
        <f>SUM($H$3:H10)/1000000000</f>
        <v>78.711952500094796</v>
      </c>
    </row>
    <row r="11" spans="1:11" ht="15" customHeight="1" x14ac:dyDescent="0.25">
      <c r="A11" s="3">
        <v>2033</v>
      </c>
      <c r="B11" s="3">
        <v>1443.8946000000014</v>
      </c>
      <c r="C11" s="3">
        <f>B11*Data!H21</f>
        <v>36.40054877418207</v>
      </c>
      <c r="D11" s="3">
        <f>C11*Data!I21</f>
        <v>7020075859.8455114</v>
      </c>
      <c r="G11" s="3">
        <f t="shared" si="0"/>
        <v>0.64460891621779726</v>
      </c>
      <c r="H11" s="3">
        <f t="shared" si="1"/>
        <v>4525203491.7817364</v>
      </c>
      <c r="I11" s="3">
        <f>SUM($H$3:H11)/1000000000</f>
        <v>83.237155991876534</v>
      </c>
    </row>
    <row r="12" spans="1:11" ht="15" customHeight="1" x14ac:dyDescent="0.25">
      <c r="A12" s="3">
        <v>2034</v>
      </c>
      <c r="B12" s="3">
        <v>1433.8414000000012</v>
      </c>
      <c r="C12" s="3">
        <f>B12*Data!H22</f>
        <v>34.339752447570909</v>
      </c>
      <c r="D12" s="3">
        <f>C12*Data!I22</f>
        <v>6291506352.0466442</v>
      </c>
      <c r="G12" s="3">
        <f t="shared" si="0"/>
        <v>0.61391325354075932</v>
      </c>
      <c r="H12" s="3">
        <f t="shared" si="1"/>
        <v>3862439134.2573094</v>
      </c>
      <c r="I12" s="3">
        <f>SUM($H$3:H12)/1000000000</f>
        <v>87.099595126133849</v>
      </c>
    </row>
    <row r="13" spans="1:11" ht="15" customHeight="1" x14ac:dyDescent="0.25">
      <c r="A13" s="3">
        <v>2035</v>
      </c>
      <c r="B13" s="3">
        <v>1423.7882000000027</v>
      </c>
      <c r="C13" s="3">
        <f>B13*Data!H23</f>
        <v>32.394034381685451</v>
      </c>
      <c r="D13" s="3">
        <f>C13*Data!I23</f>
        <v>5638273302.1259069</v>
      </c>
      <c r="G13" s="3">
        <f t="shared" si="0"/>
        <v>0.5846792890864374</v>
      </c>
      <c r="H13" s="3">
        <f t="shared" si="1"/>
        <v>3296581625.9620152</v>
      </c>
      <c r="I13" s="3">
        <f>SUM($H$3:H13)/1000000000</f>
        <v>90.396176752095869</v>
      </c>
    </row>
    <row r="14" spans="1:11" ht="15" customHeight="1" x14ac:dyDescent="0.25">
      <c r="A14" s="3">
        <v>2036</v>
      </c>
      <c r="B14" s="3">
        <v>1413.7349999999969</v>
      </c>
      <c r="C14" s="3">
        <f>B14*Data!H24</f>
        <v>30.557038741269455</v>
      </c>
      <c r="D14" s="3">
        <f>C14*Data!I24</f>
        <v>5052612064.6805439</v>
      </c>
      <c r="G14" s="3">
        <f t="shared" si="0"/>
        <v>0.5568374181775595</v>
      </c>
      <c r="H14" s="3">
        <f t="shared" si="1"/>
        <v>2813483457.1495023</v>
      </c>
      <c r="I14" s="3">
        <f>SUM($H$3:H14)/1000000000</f>
        <v>93.209660209245371</v>
      </c>
    </row>
    <row r="15" spans="1:11" ht="15" customHeight="1" x14ac:dyDescent="0.25">
      <c r="A15" s="3">
        <v>2037</v>
      </c>
      <c r="B15" s="3">
        <v>1403.6818000000021</v>
      </c>
      <c r="C15" s="3">
        <f>B15*Data!H25</f>
        <v>28.822757578941065</v>
      </c>
      <c r="D15" s="3">
        <f>C15*Data!I25</f>
        <v>4527555932.9587278</v>
      </c>
      <c r="G15" s="3">
        <f t="shared" si="0"/>
        <v>0.53032135064529462</v>
      </c>
      <c r="H15" s="3">
        <f t="shared" si="1"/>
        <v>2401059577.4887896</v>
      </c>
      <c r="I15" s="3">
        <f>SUM($H$3:H15)/1000000000</f>
        <v>95.610719786734165</v>
      </c>
    </row>
    <row r="16" spans="1:11" ht="15" customHeight="1" x14ac:dyDescent="0.25">
      <c r="A16" s="3">
        <v>2038</v>
      </c>
      <c r="B16" s="3">
        <v>1393.6285999999964</v>
      </c>
      <c r="C16" s="3">
        <f>B16*Data!H26</f>
        <v>27.185511935992132</v>
      </c>
      <c r="D16" s="3">
        <f>C16*Data!I26</f>
        <v>4056854353.4827642</v>
      </c>
      <c r="G16" s="3">
        <f t="shared" si="0"/>
        <v>0.50506795299551888</v>
      </c>
      <c r="H16" s="3">
        <f t="shared" si="1"/>
        <v>2048987123.9144988</v>
      </c>
      <c r="I16" s="3">
        <f>SUM($H$3:H16)/1000000000</f>
        <v>97.659706910648666</v>
      </c>
    </row>
    <row r="17" spans="1:9" ht="15" customHeight="1" x14ac:dyDescent="0.25">
      <c r="A17" s="3">
        <v>2039</v>
      </c>
      <c r="B17" s="3">
        <v>1383.5754000000015</v>
      </c>
      <c r="C17" s="3">
        <f>B17*Data!H27</f>
        <v>25.639933963390941</v>
      </c>
      <c r="D17" s="3">
        <f>C17*Data!I27</f>
        <v>3634899503.4169536</v>
      </c>
      <c r="G17" s="3">
        <f t="shared" si="0"/>
        <v>0.48101709809097021</v>
      </c>
      <c r="H17" s="3">
        <f t="shared" si="1"/>
        <v>1748448810.9859316</v>
      </c>
      <c r="I17" s="3">
        <f>SUM($H$3:H17)/1000000000</f>
        <v>99.4081557216346</v>
      </c>
    </row>
    <row r="18" spans="1:9" ht="15" customHeight="1" x14ac:dyDescent="0.25">
      <c r="A18" s="3">
        <v>2040</v>
      </c>
      <c r="B18" s="3">
        <v>1373.5222000000031</v>
      </c>
      <c r="C18" s="3">
        <f>B18*Data!H28</f>
        <v>24.18095000820982</v>
      </c>
      <c r="D18" s="3">
        <f>C18*Data!I28</f>
        <v>3256660377.4161716</v>
      </c>
      <c r="G18" s="3">
        <f t="shared" si="0"/>
        <v>0.45811152199140021</v>
      </c>
      <c r="H18" s="3">
        <f t="shared" si="1"/>
        <v>1491913642.1072102</v>
      </c>
      <c r="I18" s="3">
        <f>SUM($H$3:H18)/1000000000</f>
        <v>100.90006936374181</v>
      </c>
    </row>
    <row r="19" spans="1:9" ht="15" customHeight="1" x14ac:dyDescent="0.25">
      <c r="A19" s="3">
        <v>2041</v>
      </c>
      <c r="B19" s="3">
        <v>1363.4689999999973</v>
      </c>
      <c r="C19" s="3">
        <f>B19*Data!H29</f>
        <v>22.803764613638219</v>
      </c>
      <c r="D19" s="3">
        <f>C19*Data!I29</f>
        <v>2917623617.5811696</v>
      </c>
      <c r="G19" s="3">
        <f t="shared" si="0"/>
        <v>0.43629668761085727</v>
      </c>
      <c r="H19" s="3">
        <f t="shared" si="1"/>
        <v>1272949520.0458708</v>
      </c>
      <c r="I19" s="3">
        <f>SUM($H$3:H19)/1000000000</f>
        <v>102.17301888378768</v>
      </c>
    </row>
    <row r="20" spans="1:9" ht="15" customHeight="1" x14ac:dyDescent="0.25">
      <c r="A20" s="3">
        <v>2042</v>
      </c>
      <c r="B20" s="3">
        <v>1353.4157999999989</v>
      </c>
      <c r="C20" s="3">
        <f>B20*Data!H30</f>
        <v>21.503845383503361</v>
      </c>
      <c r="D20" s="3">
        <f>C20*Data!I30</f>
        <v>2613740398.2011938</v>
      </c>
      <c r="G20" s="3">
        <f t="shared" si="0"/>
        <v>0.41552065486748313</v>
      </c>
      <c r="H20" s="3">
        <f t="shared" si="1"/>
        <v>1086063121.9141562</v>
      </c>
      <c r="I20" s="3">
        <f>SUM($H$3:H20)/1000000000</f>
        <v>103.25908200570183</v>
      </c>
    </row>
    <row r="21" spans="1:9" ht="15" customHeight="1" x14ac:dyDescent="0.25">
      <c r="A21" s="3">
        <v>2043</v>
      </c>
      <c r="B21" s="3">
        <v>1343.3626000000004</v>
      </c>
      <c r="C21" s="3">
        <f>B21*Data!H31</f>
        <v>20.276908664847898</v>
      </c>
      <c r="D21" s="3">
        <f>C21*Data!I31</f>
        <v>2341378747.0856829</v>
      </c>
      <c r="G21" s="3">
        <f t="shared" si="0"/>
        <v>0.39573395701665059</v>
      </c>
      <c r="H21" s="3">
        <f t="shared" si="1"/>
        <v>926563076.45890486</v>
      </c>
      <c r="I21" s="3">
        <f>SUM($H$3:H21)/1000000000</f>
        <v>104.18564508216073</v>
      </c>
    </row>
    <row r="22" spans="1:9" ht="15" customHeight="1" x14ac:dyDescent="0.25">
      <c r="A22" s="3">
        <v>2044</v>
      </c>
      <c r="B22" s="3">
        <v>1333.3094000000019</v>
      </c>
      <c r="C22" s="3">
        <f>B22*Data!H32</f>
        <v>19.118906004599225</v>
      </c>
      <c r="D22" s="3">
        <f>C22*Data!I32</f>
        <v>2097280748.2772963</v>
      </c>
      <c r="G22" s="3">
        <f t="shared" si="0"/>
        <v>0.37688948287300061</v>
      </c>
      <c r="H22" s="3">
        <f t="shared" si="1"/>
        <v>790443056.65772998</v>
      </c>
      <c r="I22" s="3">
        <f>SUM($H$3:H22)/1000000000</f>
        <v>104.97608813881847</v>
      </c>
    </row>
    <row r="23" spans="1:9" ht="15" customHeight="1" x14ac:dyDescent="0.25">
      <c r="A23" s="3">
        <v>2045</v>
      </c>
      <c r="B23" s="3">
        <v>1323.2561999999998</v>
      </c>
      <c r="C23" s="3">
        <f>B23*Data!H33</f>
        <v>18.02601133871325</v>
      </c>
      <c r="D23" s="3">
        <f>C23*Data!I33</f>
        <v>1878524127.5220573</v>
      </c>
      <c r="G23" s="3">
        <f t="shared" si="0"/>
        <v>0.35894236464095297</v>
      </c>
      <c r="H23" s="3">
        <f t="shared" si="1"/>
        <v>674281892.3678503</v>
      </c>
      <c r="I23" s="3">
        <f>SUM($H$3:H23)/1000000000</f>
        <v>105.65037003118631</v>
      </c>
    </row>
    <row r="24" spans="1:9" ht="15" customHeight="1" x14ac:dyDescent="0.25">
      <c r="A24" s="3">
        <v>2046</v>
      </c>
      <c r="B24" s="3">
        <v>1313.2030000000013</v>
      </c>
      <c r="C24" s="3">
        <f>B24*Data!H34</f>
        <v>16.994608874404417</v>
      </c>
      <c r="D24" s="3">
        <f>C24*Data!I34</f>
        <v>1682487772.7007823</v>
      </c>
      <c r="G24" s="3">
        <f t="shared" si="0"/>
        <v>0.3418498710866219</v>
      </c>
      <c r="H24" s="3">
        <f t="shared" si="1"/>
        <v>575158228.20258009</v>
      </c>
      <c r="I24" s="3">
        <f>SUM($H$3:H24)/1000000000</f>
        <v>106.22552825938888</v>
      </c>
    </row>
    <row r="25" spans="1:9" ht="15" customHeight="1" x14ac:dyDescent="0.25">
      <c r="A25" s="3">
        <v>2047</v>
      </c>
      <c r="B25" s="3">
        <v>1303.1497999999992</v>
      </c>
      <c r="C25" s="3">
        <f>B25*Data!H35</f>
        <v>16.021281628179644</v>
      </c>
      <c r="D25" s="3">
        <f>C25*Data!I35</f>
        <v>1506820787.0823963</v>
      </c>
      <c r="G25" s="3">
        <f t="shared" si="0"/>
        <v>0.32557130579678267</v>
      </c>
      <c r="H25" s="3">
        <f t="shared" si="1"/>
        <v>490577611.25215161</v>
      </c>
      <c r="I25" s="3">
        <f>SUM($H$3:H25)/1000000000</f>
        <v>106.71610587064103</v>
      </c>
    </row>
    <row r="26" spans="1:9" ht="15" customHeight="1" x14ac:dyDescent="0.25">
      <c r="A26" s="3">
        <v>2048</v>
      </c>
      <c r="B26" s="3">
        <v>1293.0965999999971</v>
      </c>
      <c r="C26" s="3">
        <f>B26*Data!H36</f>
        <v>15.102800584391334</v>
      </c>
      <c r="D26" s="3">
        <f>C26*Data!I36</f>
        <v>1349414714.2703583</v>
      </c>
      <c r="G26" s="3">
        <f t="shared" si="0"/>
        <v>0.31006791028265024</v>
      </c>
      <c r="H26" s="3">
        <f t="shared" si="1"/>
        <v>418410200.55846959</v>
      </c>
      <c r="I26" s="3">
        <f>SUM($H$3:H26)/1000000000</f>
        <v>107.13451607119951</v>
      </c>
    </row>
    <row r="27" spans="1:9" ht="15" customHeight="1" x14ac:dyDescent="0.25">
      <c r="A27" s="3">
        <v>2049</v>
      </c>
      <c r="B27" s="3">
        <v>1283.0434000000023</v>
      </c>
      <c r="C27" s="3">
        <f>B27*Data!H37</f>
        <v>14.236114440911486</v>
      </c>
      <c r="D27" s="3">
        <f>C27*Data!I37</f>
        <v>1208378610.5494721</v>
      </c>
      <c r="G27" s="3">
        <f t="shared" si="0"/>
        <v>0.29530277169776209</v>
      </c>
      <c r="H27" s="3">
        <f t="shared" si="1"/>
        <v>356837552.95554972</v>
      </c>
      <c r="I27" s="3">
        <f>SUM($H$3:H27)/1000000000</f>
        <v>107.49135362415505</v>
      </c>
    </row>
    <row r="28" spans="1:9" ht="15" customHeight="1" x14ac:dyDescent="0.25">
      <c r="A28" s="3">
        <v>2050</v>
      </c>
      <c r="B28" s="3">
        <v>1272.9902000000002</v>
      </c>
      <c r="C28" s="3">
        <f>B28*Data!H38</f>
        <v>13.41833991031857</v>
      </c>
      <c r="D28" s="3">
        <f>C28*Data!I38</f>
        <v>1082016673.4266205</v>
      </c>
      <c r="G28" s="3">
        <f>1/(POWER((1+$F$3/100),(A28-2024)))</f>
        <v>0.28124073495024959</v>
      </c>
      <c r="H28" s="3">
        <f>D28*G28</f>
        <v>304307164.46292692</v>
      </c>
      <c r="I28" s="3">
        <f>SUM($H$3:H28)/1000000000</f>
        <v>107.79566078861798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E18DC-31F2-48C6-930D-0A367ADEB221}">
  <dimension ref="A1:K28"/>
  <sheetViews>
    <sheetView workbookViewId="0">
      <selection activeCell="F5" sqref="F5"/>
    </sheetView>
  </sheetViews>
  <sheetFormatPr defaultColWidth="23.77734375" defaultRowHeight="15" customHeight="1" x14ac:dyDescent="0.25"/>
  <sheetData>
    <row r="1" spans="1:11" ht="15" customHeight="1" x14ac:dyDescent="0.25">
      <c r="A1" s="11" t="s">
        <v>18</v>
      </c>
      <c r="B1" s="11"/>
      <c r="C1" s="11"/>
      <c r="D1" s="11"/>
      <c r="E1" s="3"/>
      <c r="F1" s="3"/>
      <c r="G1" s="3"/>
      <c r="H1" s="3"/>
      <c r="I1" s="3"/>
      <c r="J1" s="3"/>
      <c r="K1" s="3"/>
    </row>
    <row r="2" spans="1:11" ht="15" customHeight="1" x14ac:dyDescent="0.25">
      <c r="A2" s="1" t="s">
        <v>2</v>
      </c>
      <c r="B2" s="1" t="s">
        <v>3</v>
      </c>
      <c r="C2" s="1" t="s">
        <v>6</v>
      </c>
      <c r="D2" s="1" t="s">
        <v>40</v>
      </c>
      <c r="E2" s="3"/>
      <c r="F2" s="7" t="s">
        <v>36</v>
      </c>
      <c r="G2" s="3"/>
      <c r="H2" s="3"/>
      <c r="I2" s="3"/>
    </row>
    <row r="3" spans="1:11" ht="15" customHeight="1" x14ac:dyDescent="0.25">
      <c r="A3" s="3">
        <v>2025</v>
      </c>
      <c r="B3" s="3">
        <v>1524.320200000001</v>
      </c>
      <c r="C3" s="3">
        <f>B3*Data!H13</f>
        <v>57.92416760000004</v>
      </c>
      <c r="D3" s="3">
        <f>C3*Data!J13</f>
        <v>1671089065.5929611</v>
      </c>
      <c r="E3" s="14">
        <f>D3/1000</f>
        <v>1671089.0655929612</v>
      </c>
      <c r="F3" s="3">
        <f>SUM(D3:D28)/1000</f>
        <v>15179595.997642675</v>
      </c>
      <c r="G3" s="3" t="s">
        <v>32</v>
      </c>
      <c r="H3" s="3"/>
      <c r="I3" s="3"/>
    </row>
    <row r="4" spans="1:11" ht="15" customHeight="1" x14ac:dyDescent="0.25">
      <c r="A4" s="3">
        <v>2026</v>
      </c>
      <c r="B4" s="3">
        <v>1514.2669999999989</v>
      </c>
      <c r="C4" s="3">
        <f>B4*Data!H14</f>
        <v>54.665038699999961</v>
      </c>
      <c r="D4" s="3">
        <f>C4*Data!J14</f>
        <v>1498211275.455543</v>
      </c>
      <c r="E4" s="14">
        <f t="shared" ref="E4:E28" si="0">D4/1000</f>
        <v>1498211.2754555431</v>
      </c>
      <c r="F4" s="3"/>
      <c r="G4" s="3"/>
      <c r="H4" s="3"/>
      <c r="I4" s="3"/>
      <c r="J4" s="3"/>
      <c r="K4" s="3"/>
    </row>
    <row r="5" spans="1:11" ht="15" customHeight="1" x14ac:dyDescent="0.25">
      <c r="A5" s="3">
        <v>2027</v>
      </c>
      <c r="B5" s="3">
        <v>1504.2138000000004</v>
      </c>
      <c r="C5" s="3">
        <f>B5*Data!H15</f>
        <v>51.587012271000013</v>
      </c>
      <c r="D5" s="3">
        <f>C5*Data!J15</f>
        <v>1343158863.9651313</v>
      </c>
      <c r="E5" s="14">
        <f t="shared" si="0"/>
        <v>1343158.8639651313</v>
      </c>
      <c r="F5" s="3">
        <f>D3/1000/37.79/1000000000*100</f>
        <v>4.4220403958532975E-3</v>
      </c>
      <c r="G5" s="3" t="s">
        <v>39</v>
      </c>
      <c r="H5" s="3"/>
      <c r="I5" s="3"/>
      <c r="J5" s="3"/>
      <c r="K5" s="3"/>
    </row>
    <row r="6" spans="1:11" ht="15" customHeight="1" x14ac:dyDescent="0.25">
      <c r="A6" s="3">
        <v>2028</v>
      </c>
      <c r="B6" s="3">
        <v>1494.1605999999983</v>
      </c>
      <c r="C6" s="3">
        <f>B6*Data!H16</f>
        <v>48.680125888149945</v>
      </c>
      <c r="D6" s="3">
        <f>C6*Data!J16</f>
        <v>1204099301.778048</v>
      </c>
      <c r="E6" s="14">
        <f t="shared" si="0"/>
        <v>1204099.301778048</v>
      </c>
      <c r="F6" s="3"/>
      <c r="G6" s="3"/>
      <c r="H6" s="3"/>
      <c r="I6" s="3"/>
      <c r="J6" s="3"/>
      <c r="K6" s="3"/>
    </row>
    <row r="7" spans="1:11" ht="15" customHeight="1" x14ac:dyDescent="0.25">
      <c r="A7" s="3">
        <v>2029</v>
      </c>
      <c r="B7" s="3">
        <v>1484.1074000000026</v>
      </c>
      <c r="C7" s="3">
        <f>B7*Data!H17</f>
        <v>45.934960612907581</v>
      </c>
      <c r="D7" s="3">
        <f>C7*Data!J17</f>
        <v>1079387950.2668819</v>
      </c>
      <c r="E7" s="14">
        <f t="shared" si="0"/>
        <v>1079387.9502668818</v>
      </c>
      <c r="F7" s="3"/>
      <c r="G7" s="3"/>
      <c r="H7" s="3"/>
      <c r="I7" s="3"/>
      <c r="J7" s="3"/>
      <c r="K7" s="3"/>
    </row>
    <row r="8" spans="1:11" ht="15" customHeight="1" x14ac:dyDescent="0.25">
      <c r="A8" s="3">
        <v>2030</v>
      </c>
      <c r="B8" s="3">
        <v>1474.0541999999987</v>
      </c>
      <c r="C8" s="3">
        <f>B8*Data!H18</f>
        <v>43.342611550468831</v>
      </c>
      <c r="D8" s="3">
        <f>C8*Data!J18</f>
        <v>967548843.31286013</v>
      </c>
      <c r="E8" s="14">
        <f t="shared" si="0"/>
        <v>967548.84331286012</v>
      </c>
      <c r="F8" s="3"/>
      <c r="G8" s="3"/>
      <c r="H8" s="3"/>
      <c r="I8" s="3"/>
      <c r="J8" s="3"/>
      <c r="K8" s="3"/>
    </row>
    <row r="9" spans="1:11" ht="15" customHeight="1" x14ac:dyDescent="0.25">
      <c r="A9" s="3">
        <v>2031</v>
      </c>
      <c r="B9" s="3">
        <v>1464.0010000000002</v>
      </c>
      <c r="C9" s="3">
        <f>B9*Data!H19</f>
        <v>40.89465999274185</v>
      </c>
      <c r="D9" s="3">
        <f>C9*Data!J19</f>
        <v>867257430.51265156</v>
      </c>
      <c r="E9" s="14">
        <f t="shared" si="0"/>
        <v>867257.43051265157</v>
      </c>
      <c r="F9" s="3"/>
      <c r="G9" s="3"/>
      <c r="H9" s="3"/>
      <c r="I9" s="3"/>
      <c r="J9" s="3"/>
      <c r="K9" s="3"/>
    </row>
    <row r="10" spans="1:11" ht="15" customHeight="1" x14ac:dyDescent="0.25">
      <c r="A10" s="3">
        <v>2032</v>
      </c>
      <c r="B10" s="3">
        <v>1453.9477999999999</v>
      </c>
      <c r="C10" s="3">
        <f>B10*Data!H20</f>
        <v>38.58314706191134</v>
      </c>
      <c r="D10" s="3">
        <f>C10*Data!J20</f>
        <v>777325082.01673973</v>
      </c>
      <c r="E10" s="14">
        <f t="shared" si="0"/>
        <v>777325.08201673976</v>
      </c>
      <c r="F10" s="3"/>
      <c r="G10" s="3"/>
      <c r="H10" s="3"/>
      <c r="I10" s="3"/>
      <c r="J10" s="3"/>
      <c r="K10" s="3"/>
    </row>
    <row r="11" spans="1:11" ht="15" customHeight="1" x14ac:dyDescent="0.25">
      <c r="A11" s="3">
        <v>2033</v>
      </c>
      <c r="B11" s="3">
        <v>1443.8946000000014</v>
      </c>
      <c r="C11" s="3">
        <f>B11*Data!H21</f>
        <v>36.40054877418207</v>
      </c>
      <c r="D11" s="3">
        <f>C11*Data!J21</f>
        <v>696685175.52872038</v>
      </c>
      <c r="E11" s="14">
        <f t="shared" si="0"/>
        <v>696685.17552872037</v>
      </c>
      <c r="F11" s="3"/>
      <c r="G11" s="3"/>
      <c r="H11" s="3"/>
      <c r="I11" s="3"/>
      <c r="J11" s="3"/>
      <c r="K11" s="3"/>
    </row>
    <row r="12" spans="1:11" ht="15" customHeight="1" x14ac:dyDescent="0.25">
      <c r="A12" s="3">
        <v>2034</v>
      </c>
      <c r="B12" s="3">
        <v>1433.8414000000012</v>
      </c>
      <c r="C12" s="3">
        <f>B12*Data!H22</f>
        <v>34.339752447570909</v>
      </c>
      <c r="D12" s="3">
        <f>C12*Data!J22</f>
        <v>624380604.24494278</v>
      </c>
      <c r="E12" s="14">
        <f t="shared" si="0"/>
        <v>624380.60424494278</v>
      </c>
      <c r="F12" s="3"/>
      <c r="G12" s="3"/>
      <c r="H12" s="3"/>
      <c r="I12" s="3"/>
      <c r="J12" s="3"/>
      <c r="K12" s="3"/>
    </row>
    <row r="13" spans="1:11" ht="15" customHeight="1" x14ac:dyDescent="0.25">
      <c r="A13" s="3">
        <v>2035</v>
      </c>
      <c r="B13" s="3">
        <v>1423.7882000000027</v>
      </c>
      <c r="C13" s="3">
        <f>B13*Data!H23</f>
        <v>32.394034381685451</v>
      </c>
      <c r="D13" s="3">
        <f>C13*Data!J23</f>
        <v>559552560.91163254</v>
      </c>
      <c r="E13" s="14">
        <f t="shared" si="0"/>
        <v>559552.56091163249</v>
      </c>
      <c r="F13" s="3"/>
      <c r="G13" s="3"/>
      <c r="H13" s="3"/>
      <c r="I13" s="3"/>
      <c r="J13" s="3"/>
      <c r="K13" s="3"/>
    </row>
    <row r="14" spans="1:11" ht="15" customHeight="1" x14ac:dyDescent="0.25">
      <c r="A14" s="3">
        <v>2036</v>
      </c>
      <c r="B14" s="3">
        <v>1413.7349999999969</v>
      </c>
      <c r="C14" s="3">
        <f>B14*Data!H24</f>
        <v>30.557038741269455</v>
      </c>
      <c r="D14" s="3">
        <f>C14*Data!J24</f>
        <v>501430467.90921164</v>
      </c>
      <c r="E14" s="14">
        <f t="shared" si="0"/>
        <v>501430.46790921164</v>
      </c>
      <c r="F14" s="3"/>
      <c r="G14" s="3"/>
      <c r="H14" s="3"/>
      <c r="I14" s="3"/>
      <c r="J14" s="3"/>
      <c r="K14" s="3"/>
    </row>
    <row r="15" spans="1:11" ht="15" customHeight="1" x14ac:dyDescent="0.25">
      <c r="A15" s="3">
        <v>2037</v>
      </c>
      <c r="B15" s="3">
        <v>1403.6818000000021</v>
      </c>
      <c r="C15" s="3">
        <f>B15*Data!H25</f>
        <v>28.822757578941065</v>
      </c>
      <c r="D15" s="3">
        <f>C15*Data!J25</f>
        <v>449322936.51010013</v>
      </c>
      <c r="E15" s="14">
        <f t="shared" si="0"/>
        <v>449322.93651010015</v>
      </c>
      <c r="F15" s="3"/>
      <c r="G15" s="3"/>
      <c r="H15" s="3"/>
      <c r="I15" s="3"/>
      <c r="J15" s="3"/>
      <c r="K15" s="3"/>
    </row>
    <row r="16" spans="1:11" ht="15" customHeight="1" x14ac:dyDescent="0.25">
      <c r="A16" s="3">
        <v>2038</v>
      </c>
      <c r="B16" s="3">
        <v>1393.6285999999964</v>
      </c>
      <c r="C16" s="3">
        <f>B16*Data!H26</f>
        <v>27.185511935992132</v>
      </c>
      <c r="D16" s="3">
        <f>C16*Data!J26</f>
        <v>402609650.34825027</v>
      </c>
      <c r="E16" s="14">
        <f t="shared" si="0"/>
        <v>402609.65034825029</v>
      </c>
      <c r="F16" s="3"/>
      <c r="G16" s="3"/>
      <c r="H16" s="3"/>
      <c r="I16" s="3"/>
      <c r="J16" s="3"/>
      <c r="K16" s="3"/>
    </row>
    <row r="17" spans="1:11" ht="15" customHeight="1" x14ac:dyDescent="0.25">
      <c r="A17" s="3">
        <v>2039</v>
      </c>
      <c r="B17" s="3">
        <v>1383.5754000000015</v>
      </c>
      <c r="C17" s="3">
        <f>B17*Data!H27</f>
        <v>25.639933963390941</v>
      </c>
      <c r="D17" s="3">
        <f>C17*Data!J27</f>
        <v>360734078.82276493</v>
      </c>
      <c r="E17" s="14">
        <f t="shared" si="0"/>
        <v>360734.07882276492</v>
      </c>
      <c r="F17" s="3"/>
      <c r="G17" s="3"/>
      <c r="H17" s="3"/>
      <c r="I17" s="3"/>
      <c r="J17" s="3"/>
      <c r="K17" s="3"/>
    </row>
    <row r="18" spans="1:11" ht="15" customHeight="1" x14ac:dyDescent="0.25">
      <c r="A18" s="3">
        <v>2040</v>
      </c>
      <c r="B18" s="3">
        <v>1373.5222000000031</v>
      </c>
      <c r="C18" s="3">
        <f>B18*Data!H28</f>
        <v>24.18095000820982</v>
      </c>
      <c r="D18" s="3">
        <f>C18*Data!J28</f>
        <v>323196935.75612515</v>
      </c>
      <c r="E18" s="14">
        <f t="shared" si="0"/>
        <v>323196.93575612514</v>
      </c>
      <c r="F18" s="3"/>
      <c r="G18" s="3"/>
      <c r="H18" s="3"/>
      <c r="I18" s="3"/>
      <c r="J18" s="3"/>
      <c r="K18" s="3"/>
    </row>
    <row r="19" spans="1:11" ht="15" customHeight="1" x14ac:dyDescent="0.25">
      <c r="A19" s="3">
        <v>2041</v>
      </c>
      <c r="B19" s="3">
        <v>1363.4689999999973</v>
      </c>
      <c r="C19" s="3">
        <f>B19*Data!H29</f>
        <v>22.803764613638219</v>
      </c>
      <c r="D19" s="3">
        <f>C19*Data!J29</f>
        <v>289550307.25066978</v>
      </c>
      <c r="E19" s="14">
        <f t="shared" si="0"/>
        <v>289550.30725066975</v>
      </c>
      <c r="F19" s="3"/>
      <c r="G19" s="3"/>
      <c r="H19" s="3"/>
      <c r="I19" s="3"/>
      <c r="J19" s="3"/>
      <c r="K19" s="3"/>
    </row>
    <row r="20" spans="1:11" ht="15" customHeight="1" x14ac:dyDescent="0.25">
      <c r="A20" s="3">
        <v>2042</v>
      </c>
      <c r="B20" s="3">
        <v>1353.4157999999989</v>
      </c>
      <c r="C20" s="3">
        <f>B20*Data!H30</f>
        <v>21.503845383503361</v>
      </c>
      <c r="D20" s="3">
        <f>C20*Data!J30</f>
        <v>259392380.43324789</v>
      </c>
      <c r="E20" s="14">
        <f t="shared" si="0"/>
        <v>259392.38043324789</v>
      </c>
      <c r="F20" s="3"/>
      <c r="G20" s="3"/>
      <c r="H20" s="3"/>
      <c r="I20" s="3"/>
      <c r="J20" s="3"/>
      <c r="K20" s="3"/>
    </row>
    <row r="21" spans="1:11" ht="15" customHeight="1" x14ac:dyDescent="0.25">
      <c r="A21" s="3">
        <v>2043</v>
      </c>
      <c r="B21" s="3">
        <v>1343.3626000000004</v>
      </c>
      <c r="C21" s="3">
        <f>B21*Data!H31</f>
        <v>20.276908664847898</v>
      </c>
      <c r="D21" s="3">
        <f>C21*Data!J31</f>
        <v>232362711.73692161</v>
      </c>
      <c r="E21" s="14">
        <f t="shared" si="0"/>
        <v>232362.7117369216</v>
      </c>
      <c r="F21" s="3"/>
      <c r="G21" s="3"/>
      <c r="H21" s="3"/>
      <c r="I21" s="3"/>
      <c r="J21" s="3"/>
      <c r="K21" s="3"/>
    </row>
    <row r="22" spans="1:11" ht="15" customHeight="1" x14ac:dyDescent="0.25">
      <c r="A22" s="3">
        <v>2044</v>
      </c>
      <c r="B22" s="3">
        <v>1333.3094000000019</v>
      </c>
      <c r="C22" s="3">
        <f>B22*Data!H32</f>
        <v>19.118906004599225</v>
      </c>
      <c r="D22" s="3">
        <f>C22*Data!J32</f>
        <v>208137979.61988541</v>
      </c>
      <c r="E22" s="14">
        <f t="shared" si="0"/>
        <v>208137.97961988542</v>
      </c>
      <c r="F22" s="3"/>
      <c r="G22" s="3"/>
      <c r="H22" s="3"/>
      <c r="I22" s="3"/>
      <c r="J22" s="3"/>
      <c r="K22" s="3"/>
    </row>
    <row r="23" spans="1:11" ht="15" customHeight="1" x14ac:dyDescent="0.25">
      <c r="A23" s="3">
        <v>2045</v>
      </c>
      <c r="B23" s="3">
        <v>1323.2561999999998</v>
      </c>
      <c r="C23" s="3">
        <f>B23*Data!H33</f>
        <v>18.02601133871325</v>
      </c>
      <c r="D23" s="3">
        <f>C23*Data!J33</f>
        <v>186428172.23722169</v>
      </c>
      <c r="E23" s="14">
        <f t="shared" si="0"/>
        <v>186428.17223722168</v>
      </c>
      <c r="F23" s="3"/>
      <c r="G23" s="3"/>
      <c r="H23" s="3"/>
      <c r="I23" s="3"/>
      <c r="J23" s="3"/>
      <c r="K23" s="3"/>
    </row>
    <row r="24" spans="1:11" ht="15" customHeight="1" x14ac:dyDescent="0.25">
      <c r="A24" s="3">
        <v>2046</v>
      </c>
      <c r="B24" s="3">
        <v>1313.2030000000013</v>
      </c>
      <c r="C24" s="3">
        <f>B24*Data!H34</f>
        <v>16.994608874404417</v>
      </c>
      <c r="D24" s="3">
        <f>C24*Data!J34</f>
        <v>166973165.62541622</v>
      </c>
      <c r="E24" s="14">
        <f t="shared" si="0"/>
        <v>166973.16562541621</v>
      </c>
      <c r="F24" s="3"/>
      <c r="G24" s="3"/>
      <c r="H24" s="3"/>
      <c r="I24" s="3"/>
      <c r="J24" s="3"/>
      <c r="K24" s="3"/>
    </row>
    <row r="25" spans="1:11" ht="15" customHeight="1" x14ac:dyDescent="0.25">
      <c r="A25" s="3">
        <v>2047</v>
      </c>
      <c r="B25" s="3">
        <v>1303.1497999999992</v>
      </c>
      <c r="C25" s="3">
        <f>B25*Data!H35</f>
        <v>16.021281628179644</v>
      </c>
      <c r="D25" s="3">
        <f>C25*Data!J35</f>
        <v>149539652.49058238</v>
      </c>
      <c r="E25" s="14">
        <f t="shared" si="0"/>
        <v>149539.65249058238</v>
      </c>
      <c r="F25" s="3"/>
      <c r="G25" s="3"/>
      <c r="H25" s="3"/>
      <c r="I25" s="3"/>
      <c r="J25" s="3"/>
      <c r="K25" s="3"/>
    </row>
    <row r="26" spans="1:11" ht="15" customHeight="1" x14ac:dyDescent="0.25">
      <c r="A26" s="3">
        <v>2048</v>
      </c>
      <c r="B26" s="3">
        <v>1293.0965999999971</v>
      </c>
      <c r="C26" s="3">
        <f>B26*Data!H36</f>
        <v>15.102800584391334</v>
      </c>
      <c r="D26" s="3">
        <f>C26*Data!J36</f>
        <v>133918385.7613145</v>
      </c>
      <c r="E26" s="14">
        <f t="shared" si="0"/>
        <v>133918.38576131451</v>
      </c>
      <c r="F26" s="3"/>
      <c r="G26" s="3"/>
      <c r="H26" s="3"/>
      <c r="I26" s="3"/>
      <c r="J26" s="3"/>
      <c r="K26" s="3"/>
    </row>
    <row r="27" spans="1:11" ht="15" customHeight="1" x14ac:dyDescent="0.25">
      <c r="A27" s="3">
        <v>2049</v>
      </c>
      <c r="B27" s="3">
        <v>1283.0434000000023</v>
      </c>
      <c r="C27" s="3">
        <f>B27*Data!H37</f>
        <v>14.236114440911486</v>
      </c>
      <c r="D27" s="3">
        <f>C27*Data!J37</f>
        <v>119921704.72276591</v>
      </c>
      <c r="E27" s="14">
        <f t="shared" si="0"/>
        <v>119921.70472276591</v>
      </c>
      <c r="F27" s="3"/>
      <c r="G27" s="3"/>
      <c r="H27" s="3"/>
      <c r="I27" s="3"/>
      <c r="J27" s="3"/>
      <c r="K27" s="3"/>
    </row>
    <row r="28" spans="1:11" ht="15" customHeight="1" x14ac:dyDescent="0.25">
      <c r="A28" s="3">
        <v>2050</v>
      </c>
      <c r="B28" s="3">
        <v>1272.9902000000002</v>
      </c>
      <c r="C28" s="3">
        <f>B28*Data!H38</f>
        <v>13.41833991031857</v>
      </c>
      <c r="D28" s="3">
        <f>C28*Data!J38</f>
        <v>107381314.83209024</v>
      </c>
      <c r="E28" s="14">
        <f t="shared" si="0"/>
        <v>107381.31483209024</v>
      </c>
      <c r="F28" s="3"/>
      <c r="G28" s="3"/>
      <c r="H28" s="3"/>
      <c r="I28" s="3"/>
      <c r="J28" s="3"/>
      <c r="K28" s="3"/>
    </row>
  </sheetData>
  <mergeCells count="1">
    <mergeCell ref="A1:D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C07A6-DC17-4086-BFC1-2938FE026596}">
  <dimension ref="A1:K28"/>
  <sheetViews>
    <sheetView tabSelected="1" workbookViewId="0">
      <selection activeCell="I20" sqref="I20"/>
    </sheetView>
  </sheetViews>
  <sheetFormatPr defaultColWidth="23.77734375" defaultRowHeight="15" customHeight="1" x14ac:dyDescent="0.25"/>
  <cols>
    <col min="7" max="7" width="23.77734375" customWidth="1"/>
  </cols>
  <sheetData>
    <row r="1" spans="1:11" ht="15" customHeight="1" x14ac:dyDescent="0.25">
      <c r="A1" s="11" t="s">
        <v>18</v>
      </c>
      <c r="B1" s="11"/>
      <c r="C1" s="11"/>
      <c r="D1" s="11"/>
      <c r="E1" s="3"/>
      <c r="F1" s="3"/>
      <c r="G1" s="3"/>
      <c r="H1" s="3"/>
      <c r="I1" s="3"/>
      <c r="J1" s="3"/>
      <c r="K1" s="3"/>
    </row>
    <row r="2" spans="1:11" ht="15" customHeight="1" x14ac:dyDescent="0.25">
      <c r="A2" s="1" t="s">
        <v>2</v>
      </c>
      <c r="B2" s="1" t="s">
        <v>3</v>
      </c>
      <c r="C2" s="1" t="s">
        <v>6</v>
      </c>
      <c r="D2" s="1" t="s">
        <v>19</v>
      </c>
      <c r="E2" s="3"/>
      <c r="F2" s="7" t="s">
        <v>21</v>
      </c>
      <c r="G2" s="3"/>
      <c r="H2" s="3"/>
      <c r="I2" s="3"/>
    </row>
    <row r="3" spans="1:11" ht="15" customHeight="1" x14ac:dyDescent="0.25">
      <c r="A3" s="3">
        <v>2025</v>
      </c>
      <c r="B3" s="3">
        <v>1524.320200000001</v>
      </c>
      <c r="C3" s="3">
        <f>B3*Data!H13</f>
        <v>57.92416760000004</v>
      </c>
      <c r="D3" s="3">
        <f>C3*Data!K13</f>
        <v>617981590.98755085</v>
      </c>
      <c r="E3" s="14">
        <f>D3/1000000</f>
        <v>617.98159098755082</v>
      </c>
      <c r="F3" s="3">
        <f>SUM(D3:D28)/1000000</f>
        <v>5613.5313660513202</v>
      </c>
      <c r="G3" s="3" t="s">
        <v>20</v>
      </c>
      <c r="H3" s="3"/>
      <c r="I3" s="3"/>
    </row>
    <row r="4" spans="1:11" ht="15" customHeight="1" x14ac:dyDescent="0.25">
      <c r="A4" s="3">
        <v>2026</v>
      </c>
      <c r="B4" s="3">
        <v>1514.2669999999989</v>
      </c>
      <c r="C4" s="3">
        <f>B4*Data!H14</f>
        <v>54.665038699999961</v>
      </c>
      <c r="D4" s="3">
        <f>C4*Data!K14</f>
        <v>554050054.36557865</v>
      </c>
      <c r="E4" s="14">
        <f t="shared" ref="E4:E28" si="0">D4/1000000</f>
        <v>554.0500543655786</v>
      </c>
      <c r="F4" s="3"/>
      <c r="G4" s="3"/>
      <c r="H4" s="3"/>
      <c r="I4" s="3"/>
      <c r="J4" s="3"/>
      <c r="K4" s="3"/>
    </row>
    <row r="5" spans="1:11" ht="15" customHeight="1" x14ac:dyDescent="0.25">
      <c r="A5" s="3">
        <v>2027</v>
      </c>
      <c r="B5" s="3">
        <v>1504.2138000000004</v>
      </c>
      <c r="C5" s="3">
        <f>B5*Data!H15</f>
        <v>51.587012271000013</v>
      </c>
      <c r="D5" s="3">
        <f>C5*Data!K15</f>
        <v>496710479.88556683</v>
      </c>
      <c r="E5" s="14">
        <f t="shared" si="0"/>
        <v>496.71047988556683</v>
      </c>
      <c r="F5" s="3">
        <f>D3/1000000/82000000*100</f>
        <v>7.5363608657018388E-4</v>
      </c>
      <c r="G5" s="3" t="s">
        <v>39</v>
      </c>
      <c r="H5" s="3"/>
      <c r="I5" s="3"/>
      <c r="J5" s="3"/>
      <c r="K5" s="3"/>
    </row>
    <row r="6" spans="1:11" ht="15" customHeight="1" x14ac:dyDescent="0.25">
      <c r="A6" s="3">
        <v>2028</v>
      </c>
      <c r="B6" s="3">
        <v>1494.1605999999983</v>
      </c>
      <c r="C6" s="3">
        <f>B6*Data!H16</f>
        <v>48.680125888149945</v>
      </c>
      <c r="D6" s="3">
        <f>C6*Data!K16</f>
        <v>445285184.09984344</v>
      </c>
      <c r="E6" s="14">
        <f t="shared" si="0"/>
        <v>445.28518409984343</v>
      </c>
      <c r="F6" s="3"/>
      <c r="G6" s="3"/>
      <c r="H6" s="3"/>
      <c r="I6" s="3"/>
      <c r="J6" s="3"/>
      <c r="K6" s="3"/>
    </row>
    <row r="7" spans="1:11" ht="15" customHeight="1" x14ac:dyDescent="0.25">
      <c r="A7" s="3">
        <v>2029</v>
      </c>
      <c r="B7" s="3">
        <v>1484.1074000000026</v>
      </c>
      <c r="C7" s="3">
        <f>B7*Data!H17</f>
        <v>45.934960612907581</v>
      </c>
      <c r="D7" s="3">
        <f>C7*Data!K17</f>
        <v>399165966.99292576</v>
      </c>
      <c r="E7" s="14">
        <f t="shared" si="0"/>
        <v>399.16596699292575</v>
      </c>
      <c r="F7" s="3">
        <f>F3/82000000*100</f>
        <v>6.8457699585991712E-3</v>
      </c>
      <c r="G7" s="3" t="s">
        <v>39</v>
      </c>
      <c r="H7" s="3"/>
      <c r="I7" s="3"/>
      <c r="J7" s="3"/>
      <c r="K7" s="3"/>
    </row>
    <row r="8" spans="1:11" ht="15" customHeight="1" x14ac:dyDescent="0.25">
      <c r="A8" s="3">
        <v>2030</v>
      </c>
      <c r="B8" s="3">
        <v>1474.0541999999987</v>
      </c>
      <c r="C8" s="3">
        <f>B8*Data!H18</f>
        <v>43.342611550468831</v>
      </c>
      <c r="D8" s="3">
        <f>C8*Data!K18</f>
        <v>357807004.94050574</v>
      </c>
      <c r="E8" s="14">
        <f t="shared" si="0"/>
        <v>357.80700494050575</v>
      </c>
      <c r="F8" s="3"/>
      <c r="G8" s="3"/>
      <c r="H8" s="3"/>
      <c r="I8" s="3"/>
      <c r="J8" s="3"/>
      <c r="K8" s="3"/>
    </row>
    <row r="9" spans="1:11" ht="15" customHeight="1" x14ac:dyDescent="0.25">
      <c r="A9" s="3">
        <v>2031</v>
      </c>
      <c r="B9" s="3">
        <v>1464.0010000000002</v>
      </c>
      <c r="C9" s="3">
        <f>B9*Data!H19</f>
        <v>40.89465999274185</v>
      </c>
      <c r="D9" s="3">
        <f>C9*Data!K19</f>
        <v>320718469.01458251</v>
      </c>
      <c r="E9" s="14">
        <f t="shared" si="0"/>
        <v>320.71846901458252</v>
      </c>
      <c r="F9" s="3"/>
      <c r="G9" s="3"/>
      <c r="H9" s="3"/>
      <c r="I9" s="3"/>
      <c r="J9" s="3"/>
      <c r="K9" s="3"/>
    </row>
    <row r="10" spans="1:11" ht="15" customHeight="1" x14ac:dyDescent="0.25">
      <c r="A10" s="3">
        <v>2032</v>
      </c>
      <c r="B10" s="3">
        <v>1453.9477999999999</v>
      </c>
      <c r="C10" s="3">
        <f>B10*Data!H20</f>
        <v>38.58314706191134</v>
      </c>
      <c r="D10" s="3">
        <f>C10*Data!K20</f>
        <v>287460794.75349814</v>
      </c>
      <c r="E10" s="14">
        <f t="shared" si="0"/>
        <v>287.46079475349813</v>
      </c>
      <c r="F10" s="3"/>
      <c r="G10" s="3"/>
      <c r="H10" s="3"/>
      <c r="I10" s="3"/>
      <c r="J10" s="3"/>
      <c r="K10" s="3"/>
    </row>
    <row r="11" spans="1:11" ht="15" customHeight="1" x14ac:dyDescent="0.25">
      <c r="A11" s="3">
        <v>2033</v>
      </c>
      <c r="B11" s="3">
        <v>1443.8946000000014</v>
      </c>
      <c r="C11" s="3">
        <f>B11*Data!H21</f>
        <v>36.40054877418207</v>
      </c>
      <c r="D11" s="3">
        <f>C11*Data!K21</f>
        <v>257639537.02725568</v>
      </c>
      <c r="E11" s="14">
        <f t="shared" si="0"/>
        <v>257.6395370272557</v>
      </c>
      <c r="F11" s="3"/>
      <c r="G11" s="3"/>
      <c r="H11" s="3"/>
      <c r="I11" s="3"/>
      <c r="J11" s="3"/>
      <c r="K11" s="3"/>
    </row>
    <row r="12" spans="1:11" ht="15" customHeight="1" x14ac:dyDescent="0.25">
      <c r="A12" s="3">
        <v>2034</v>
      </c>
      <c r="B12" s="3">
        <v>1433.8414000000012</v>
      </c>
      <c r="C12" s="3">
        <f>B12*Data!H22</f>
        <v>34.339752447570909</v>
      </c>
      <c r="D12" s="3">
        <f>C12*Data!K22</f>
        <v>230900750.3775048</v>
      </c>
      <c r="E12" s="14">
        <f t="shared" si="0"/>
        <v>230.90075037750481</v>
      </c>
      <c r="F12" s="3"/>
      <c r="G12" s="3"/>
      <c r="H12" s="3"/>
      <c r="I12" s="3"/>
      <c r="J12" s="3"/>
      <c r="K12" s="3"/>
    </row>
    <row r="13" spans="1:11" ht="15" customHeight="1" x14ac:dyDescent="0.25">
      <c r="A13" s="3">
        <v>2035</v>
      </c>
      <c r="B13" s="3">
        <v>1423.7882000000027</v>
      </c>
      <c r="C13" s="3">
        <f>B13*Data!H23</f>
        <v>32.394034381685451</v>
      </c>
      <c r="D13" s="3">
        <f>C13*Data!K23</f>
        <v>206926841.27559024</v>
      </c>
      <c r="E13" s="14">
        <f t="shared" si="0"/>
        <v>206.92684127559025</v>
      </c>
      <c r="F13" s="3"/>
      <c r="G13" s="3"/>
      <c r="H13" s="3"/>
      <c r="I13" s="3"/>
      <c r="J13" s="3"/>
      <c r="K13" s="3"/>
    </row>
    <row r="14" spans="1:11" ht="15" customHeight="1" x14ac:dyDescent="0.25">
      <c r="A14" s="3">
        <v>2036</v>
      </c>
      <c r="B14" s="3">
        <v>1413.7349999999969</v>
      </c>
      <c r="C14" s="3">
        <f>B14*Data!H24</f>
        <v>30.557038741269455</v>
      </c>
      <c r="D14" s="3">
        <f>C14*Data!K24</f>
        <v>185432844.19027191</v>
      </c>
      <c r="E14" s="14">
        <f t="shared" si="0"/>
        <v>185.43284419027191</v>
      </c>
      <c r="F14" s="3"/>
      <c r="G14" s="3"/>
      <c r="H14" s="3"/>
      <c r="I14" s="3"/>
      <c r="J14" s="3"/>
      <c r="K14" s="3"/>
    </row>
    <row r="15" spans="1:11" ht="15" customHeight="1" x14ac:dyDescent="0.25">
      <c r="A15" s="3">
        <v>2037</v>
      </c>
      <c r="B15" s="3">
        <v>1403.6818000000021</v>
      </c>
      <c r="C15" s="3">
        <f>B15*Data!H25</f>
        <v>28.822757578941065</v>
      </c>
      <c r="D15" s="3">
        <f>C15*Data!K25</f>
        <v>166163078.25171587</v>
      </c>
      <c r="E15" s="14">
        <f t="shared" si="0"/>
        <v>166.16307825171586</v>
      </c>
      <c r="F15" s="3"/>
      <c r="G15" s="3"/>
      <c r="H15" s="3"/>
      <c r="I15" s="3"/>
      <c r="J15" s="3"/>
      <c r="K15" s="3"/>
    </row>
    <row r="16" spans="1:11" ht="15" customHeight="1" x14ac:dyDescent="0.25">
      <c r="A16" s="3">
        <v>2038</v>
      </c>
      <c r="B16" s="3">
        <v>1393.6285999999964</v>
      </c>
      <c r="C16" s="3">
        <f>B16*Data!H26</f>
        <v>27.185511935992132</v>
      </c>
      <c r="D16" s="3">
        <f>C16*Data!K26</f>
        <v>148888145.69609332</v>
      </c>
      <c r="E16" s="14">
        <f t="shared" si="0"/>
        <v>148.88814569609332</v>
      </c>
      <c r="F16" s="3"/>
      <c r="G16" s="3"/>
      <c r="H16" s="3"/>
      <c r="I16" s="3"/>
      <c r="J16" s="3"/>
      <c r="K16" s="3"/>
    </row>
    <row r="17" spans="1:11" ht="15" customHeight="1" x14ac:dyDescent="0.25">
      <c r="A17" s="3">
        <v>2039</v>
      </c>
      <c r="B17" s="3">
        <v>1383.5754000000015</v>
      </c>
      <c r="C17" s="3">
        <f>B17*Data!H27</f>
        <v>25.639933963390941</v>
      </c>
      <c r="D17" s="3">
        <f>C17*Data!K27</f>
        <v>133402237.22618787</v>
      </c>
      <c r="E17" s="14">
        <f t="shared" si="0"/>
        <v>133.40223722618788</v>
      </c>
      <c r="F17" s="3"/>
      <c r="G17" s="3"/>
      <c r="H17" s="3"/>
      <c r="I17" s="3"/>
      <c r="J17" s="3"/>
      <c r="K17" s="3"/>
    </row>
    <row r="18" spans="1:11" ht="15" customHeight="1" x14ac:dyDescent="0.25">
      <c r="A18" s="3">
        <v>2040</v>
      </c>
      <c r="B18" s="3">
        <v>1373.5222000000031</v>
      </c>
      <c r="C18" s="3">
        <f>B18*Data!H28</f>
        <v>24.18095000820982</v>
      </c>
      <c r="D18" s="3">
        <f>C18*Data!K28</f>
        <v>119520712.97289012</v>
      </c>
      <c r="E18" s="14">
        <f t="shared" si="0"/>
        <v>119.52071297289012</v>
      </c>
      <c r="F18" s="3"/>
      <c r="G18" s="3"/>
      <c r="H18" s="3"/>
      <c r="I18" s="3"/>
      <c r="J18" s="3"/>
      <c r="K18" s="3"/>
    </row>
    <row r="19" spans="1:11" ht="15" customHeight="1" x14ac:dyDescent="0.25">
      <c r="A19" s="3">
        <v>2041</v>
      </c>
      <c r="B19" s="3">
        <v>1363.4689999999973</v>
      </c>
      <c r="C19" s="3">
        <f>B19*Data!H29</f>
        <v>22.803764613638219</v>
      </c>
      <c r="D19" s="3">
        <f>C19*Data!K29</f>
        <v>107077930.93135346</v>
      </c>
      <c r="E19" s="14">
        <f t="shared" si="0"/>
        <v>107.07793093135346</v>
      </c>
      <c r="F19" s="3"/>
      <c r="G19" s="3"/>
      <c r="H19" s="3"/>
      <c r="I19" s="3"/>
      <c r="J19" s="3"/>
      <c r="K19" s="3"/>
    </row>
    <row r="20" spans="1:11" ht="15" customHeight="1" x14ac:dyDescent="0.25">
      <c r="A20" s="3">
        <v>2042</v>
      </c>
      <c r="B20" s="3">
        <v>1353.4157999999989</v>
      </c>
      <c r="C20" s="3">
        <f>B20*Data!H30</f>
        <v>21.503845383503361</v>
      </c>
      <c r="D20" s="3">
        <f>C20*Data!K30</f>
        <v>95925297.610218406</v>
      </c>
      <c r="E20" s="14">
        <f t="shared" si="0"/>
        <v>95.925297610218408</v>
      </c>
      <c r="F20" s="3"/>
      <c r="G20" s="3"/>
      <c r="H20" s="3"/>
      <c r="I20" s="3"/>
      <c r="J20" s="3"/>
      <c r="K20" s="3"/>
    </row>
    <row r="21" spans="1:11" ht="15" customHeight="1" x14ac:dyDescent="0.25">
      <c r="A21" s="3">
        <v>2043</v>
      </c>
      <c r="B21" s="3">
        <v>1343.3626000000004</v>
      </c>
      <c r="C21" s="3">
        <f>B21*Data!H31</f>
        <v>20.276908664847898</v>
      </c>
      <c r="D21" s="3">
        <f>C21*Data!K31</f>
        <v>85929518.205788508</v>
      </c>
      <c r="E21" s="14">
        <f t="shared" si="0"/>
        <v>85.929518205788511</v>
      </c>
      <c r="F21" s="3"/>
      <c r="G21" s="3"/>
      <c r="H21" s="3"/>
      <c r="I21" s="3"/>
      <c r="J21" s="3"/>
      <c r="K21" s="3"/>
    </row>
    <row r="22" spans="1:11" ht="15" customHeight="1" x14ac:dyDescent="0.25">
      <c r="A22" s="3">
        <v>2044</v>
      </c>
      <c r="B22" s="3">
        <v>1333.3094000000019</v>
      </c>
      <c r="C22" s="3">
        <f>B22*Data!H32</f>
        <v>19.118906004599225</v>
      </c>
      <c r="D22" s="3">
        <f>C22*Data!K32</f>
        <v>76971025.924815312</v>
      </c>
      <c r="E22" s="14">
        <f t="shared" si="0"/>
        <v>76.971025924815308</v>
      </c>
      <c r="F22" s="3"/>
      <c r="G22" s="3"/>
      <c r="H22" s="3"/>
      <c r="I22" s="3"/>
      <c r="J22" s="3"/>
      <c r="K22" s="3"/>
    </row>
    <row r="23" spans="1:11" ht="15" customHeight="1" x14ac:dyDescent="0.25">
      <c r="A23" s="3">
        <v>2045</v>
      </c>
      <c r="B23" s="3">
        <v>1323.2561999999998</v>
      </c>
      <c r="C23" s="3">
        <f>B23*Data!H33</f>
        <v>18.02601133871325</v>
      </c>
      <c r="D23" s="3">
        <f>C23*Data!K33</f>
        <v>68942572.156187937</v>
      </c>
      <c r="E23" s="14">
        <f t="shared" si="0"/>
        <v>68.942572156187936</v>
      </c>
      <c r="F23" s="3"/>
      <c r="G23" s="3"/>
      <c r="H23" s="3"/>
      <c r="I23" s="3"/>
      <c r="J23" s="3"/>
      <c r="K23" s="3"/>
    </row>
    <row r="24" spans="1:11" ht="15" customHeight="1" x14ac:dyDescent="0.25">
      <c r="A24" s="3">
        <v>2046</v>
      </c>
      <c r="B24" s="3">
        <v>1313.2030000000013</v>
      </c>
      <c r="C24" s="3">
        <f>B24*Data!H34</f>
        <v>16.994608874404417</v>
      </c>
      <c r="D24" s="3">
        <f>C24*Data!K34</f>
        <v>61747961.057245269</v>
      </c>
      <c r="E24" s="14">
        <f t="shared" si="0"/>
        <v>61.74796105724527</v>
      </c>
      <c r="F24" s="3"/>
      <c r="G24" s="3"/>
      <c r="H24" s="3"/>
      <c r="I24" s="3"/>
      <c r="J24" s="3"/>
      <c r="K24" s="3"/>
    </row>
    <row r="25" spans="1:11" ht="15" customHeight="1" x14ac:dyDescent="0.25">
      <c r="A25" s="3">
        <v>2047</v>
      </c>
      <c r="B25" s="3">
        <v>1303.1497999999992</v>
      </c>
      <c r="C25" s="3">
        <f>B25*Data!H35</f>
        <v>16.021281628179644</v>
      </c>
      <c r="D25" s="3">
        <f>C25*Data!K35</f>
        <v>55300913.796036519</v>
      </c>
      <c r="E25" s="14">
        <f t="shared" si="0"/>
        <v>55.300913796036518</v>
      </c>
      <c r="F25" s="3"/>
      <c r="G25" s="3"/>
      <c r="H25" s="3"/>
      <c r="I25" s="3"/>
      <c r="J25" s="3"/>
      <c r="K25" s="3"/>
    </row>
    <row r="26" spans="1:11" ht="15" customHeight="1" x14ac:dyDescent="0.25">
      <c r="A26" s="3">
        <v>2048</v>
      </c>
      <c r="B26" s="3">
        <v>1293.0965999999971</v>
      </c>
      <c r="C26" s="3">
        <f>B26*Data!H36</f>
        <v>15.102800584391334</v>
      </c>
      <c r="D26" s="3">
        <f>C26*Data!K36</f>
        <v>49524049.19596304</v>
      </c>
      <c r="E26" s="14">
        <f t="shared" si="0"/>
        <v>49.524049195963038</v>
      </c>
      <c r="F26" s="3"/>
      <c r="G26" s="3"/>
      <c r="H26" s="3"/>
      <c r="I26" s="3"/>
      <c r="J26" s="3"/>
      <c r="K26" s="3"/>
    </row>
    <row r="27" spans="1:11" ht="15" customHeight="1" x14ac:dyDescent="0.25">
      <c r="A27" s="3">
        <v>2049</v>
      </c>
      <c r="B27" s="3">
        <v>1283.0434000000023</v>
      </c>
      <c r="C27" s="3">
        <f>B27*Data!H37</f>
        <v>14.236114440911486</v>
      </c>
      <c r="D27" s="3">
        <f>C27*Data!K37</f>
        <v>44347968.881130546</v>
      </c>
      <c r="E27" s="14">
        <f t="shared" si="0"/>
        <v>44.347968881130548</v>
      </c>
      <c r="F27" s="3"/>
      <c r="G27" s="3"/>
      <c r="H27" s="3"/>
      <c r="I27" s="3"/>
      <c r="J27" s="3"/>
      <c r="K27" s="3"/>
    </row>
    <row r="28" spans="1:11" ht="15" customHeight="1" x14ac:dyDescent="0.25">
      <c r="A28" s="3">
        <v>2050</v>
      </c>
      <c r="B28" s="3">
        <v>1272.9902000000002</v>
      </c>
      <c r="C28" s="3">
        <f>B28*Data!H38</f>
        <v>13.41833991031857</v>
      </c>
      <c r="D28" s="3">
        <f>C28*Data!K38</f>
        <v>39710436.235021062</v>
      </c>
      <c r="E28" s="14">
        <f t="shared" si="0"/>
        <v>39.710436235021064</v>
      </c>
      <c r="F28" s="3"/>
      <c r="G28" s="3"/>
      <c r="H28" s="3"/>
      <c r="I28" s="3"/>
      <c r="J28" s="3"/>
      <c r="K28" s="3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505B-270C-4B47-B3D1-12D7BCE6973A}">
  <dimension ref="A1:K28"/>
  <sheetViews>
    <sheetView workbookViewId="0">
      <selection activeCell="F34" sqref="F34"/>
    </sheetView>
  </sheetViews>
  <sheetFormatPr defaultColWidth="23.77734375" defaultRowHeight="15" customHeight="1" x14ac:dyDescent="0.25"/>
  <sheetData>
    <row r="1" spans="1:11" ht="15" customHeight="1" x14ac:dyDescent="0.25">
      <c r="A1" s="11" t="s">
        <v>18</v>
      </c>
      <c r="B1" s="11"/>
      <c r="C1" s="11"/>
      <c r="D1" s="11"/>
      <c r="E1" s="3"/>
      <c r="F1" s="3"/>
      <c r="G1" s="3"/>
      <c r="H1" s="3"/>
      <c r="I1" s="3"/>
      <c r="J1" s="3"/>
      <c r="K1" s="3"/>
    </row>
    <row r="2" spans="1:11" ht="15" customHeight="1" x14ac:dyDescent="0.25">
      <c r="A2" s="1" t="s">
        <v>2</v>
      </c>
      <c r="B2" s="1" t="s">
        <v>3</v>
      </c>
      <c r="C2" s="1" t="s">
        <v>6</v>
      </c>
      <c r="D2" s="1" t="s">
        <v>41</v>
      </c>
      <c r="E2" s="3"/>
      <c r="F2" s="7" t="s">
        <v>37</v>
      </c>
      <c r="G2" s="3"/>
      <c r="H2" s="3"/>
      <c r="I2" s="3"/>
    </row>
    <row r="3" spans="1:11" ht="15" customHeight="1" x14ac:dyDescent="0.25">
      <c r="A3" s="3">
        <v>2025</v>
      </c>
      <c r="B3" s="3">
        <v>1524.320200000001</v>
      </c>
      <c r="C3" s="3">
        <f>B3*Data!H13</f>
        <v>57.92416760000004</v>
      </c>
      <c r="D3" s="3">
        <f>C3*Data!L13</f>
        <v>1124771486.4568007</v>
      </c>
      <c r="E3" s="13">
        <f>D3/1000000000</f>
        <v>1.1247714864568008</v>
      </c>
      <c r="F3" s="3">
        <f>SUM(D3:D28)/1000000000</f>
        <v>10.217035767644111</v>
      </c>
      <c r="G3" s="3" t="s">
        <v>38</v>
      </c>
      <c r="H3" s="3"/>
      <c r="I3" s="3"/>
    </row>
    <row r="4" spans="1:11" ht="15" customHeight="1" x14ac:dyDescent="0.25">
      <c r="A4" s="3">
        <v>2026</v>
      </c>
      <c r="B4" s="3">
        <v>1514.2669999999989</v>
      </c>
      <c r="C4" s="3">
        <f>B4*Data!H14</f>
        <v>54.665038699999961</v>
      </c>
      <c r="D4" s="3">
        <f>C4*Data!L14</f>
        <v>1008411435.4027693</v>
      </c>
      <c r="E4" s="13">
        <f t="shared" ref="E4:E28" si="0">D4/1000000000</f>
        <v>1.0084114354027693</v>
      </c>
      <c r="F4" s="3"/>
      <c r="G4" s="3"/>
      <c r="H4" s="3"/>
      <c r="I4" s="3"/>
      <c r="J4" s="3"/>
      <c r="K4" s="3"/>
    </row>
    <row r="5" spans="1:11" ht="15" customHeight="1" x14ac:dyDescent="0.25">
      <c r="A5" s="3">
        <v>2027</v>
      </c>
      <c r="B5" s="3">
        <v>1504.2138000000004</v>
      </c>
      <c r="C5" s="3">
        <f>B5*Data!H15</f>
        <v>51.587012271000013</v>
      </c>
      <c r="D5" s="3">
        <f>C5*Data!L15</f>
        <v>904049235.36114597</v>
      </c>
      <c r="E5" s="13">
        <f t="shared" si="0"/>
        <v>0.90404923536114601</v>
      </c>
      <c r="F5" s="15">
        <f>D3/1000000000/10633450/0.313*100</f>
        <v>3.3794479929468483E-5</v>
      </c>
      <c r="G5" s="3" t="s">
        <v>39</v>
      </c>
      <c r="H5" s="15"/>
      <c r="I5" s="3"/>
      <c r="J5" s="3"/>
      <c r="K5" s="3"/>
    </row>
    <row r="6" spans="1:11" ht="15" customHeight="1" x14ac:dyDescent="0.25">
      <c r="A6" s="3">
        <v>2028</v>
      </c>
      <c r="B6" s="3">
        <v>1494.1605999999983</v>
      </c>
      <c r="C6" s="3">
        <f>B6*Data!H16</f>
        <v>48.680125888149945</v>
      </c>
      <c r="D6" s="3">
        <f>C6*Data!L16</f>
        <v>810451453.11984003</v>
      </c>
      <c r="E6" s="13">
        <f t="shared" si="0"/>
        <v>0.81045145311984002</v>
      </c>
      <c r="F6" s="3"/>
      <c r="G6" s="3"/>
      <c r="H6" s="3"/>
      <c r="I6" s="3"/>
      <c r="J6" s="3"/>
      <c r="K6" s="3"/>
    </row>
    <row r="7" spans="1:11" ht="15" customHeight="1" x14ac:dyDescent="0.25">
      <c r="A7" s="3">
        <v>2029</v>
      </c>
      <c r="B7" s="3">
        <v>1484.1074000000026</v>
      </c>
      <c r="C7" s="3">
        <f>B7*Data!H17</f>
        <v>45.934960612907581</v>
      </c>
      <c r="D7" s="3">
        <f>C7*Data!L17</f>
        <v>726511120.37193978</v>
      </c>
      <c r="E7" s="13">
        <f t="shared" si="0"/>
        <v>0.72651112037193977</v>
      </c>
      <c r="F7" s="3">
        <f>E3/80000/100000000*1000000000*100</f>
        <v>1.405964358071001E-2</v>
      </c>
      <c r="G7" s="3" t="s">
        <v>39</v>
      </c>
      <c r="H7" s="3"/>
      <c r="I7" s="3"/>
      <c r="J7" s="3"/>
      <c r="K7" s="3"/>
    </row>
    <row r="8" spans="1:11" ht="15" customHeight="1" x14ac:dyDescent="0.25">
      <c r="A8" s="3">
        <v>2030</v>
      </c>
      <c r="B8" s="3">
        <v>1474.0541999999987</v>
      </c>
      <c r="C8" s="3">
        <f>B8*Data!H18</f>
        <v>43.342611550468831</v>
      </c>
      <c r="D8" s="3">
        <f>C8*Data!L18</f>
        <v>651234798.38365579</v>
      </c>
      <c r="E8" s="13">
        <f t="shared" si="0"/>
        <v>0.65123479838365583</v>
      </c>
      <c r="F8" s="3"/>
      <c r="G8" s="3"/>
      <c r="H8" s="3"/>
      <c r="I8" s="3"/>
      <c r="J8" s="3"/>
      <c r="K8" s="3"/>
    </row>
    <row r="9" spans="1:11" ht="15" customHeight="1" x14ac:dyDescent="0.25">
      <c r="A9" s="3">
        <v>2031</v>
      </c>
      <c r="B9" s="3">
        <v>1464.0010000000002</v>
      </c>
      <c r="C9" s="3">
        <f>B9*Data!H19</f>
        <v>40.89465999274185</v>
      </c>
      <c r="D9" s="3">
        <f>C9*Data!L19</f>
        <v>583730962.84505391</v>
      </c>
      <c r="E9" s="13">
        <f t="shared" si="0"/>
        <v>0.58373096284505388</v>
      </c>
      <c r="F9" s="3"/>
      <c r="G9" s="3"/>
      <c r="H9" s="3"/>
      <c r="I9" s="3"/>
      <c r="J9" s="3"/>
      <c r="K9" s="3"/>
    </row>
    <row r="10" spans="1:11" ht="15" customHeight="1" x14ac:dyDescent="0.25">
      <c r="A10" s="3">
        <v>2032</v>
      </c>
      <c r="B10" s="3">
        <v>1453.9477999999999</v>
      </c>
      <c r="C10" s="3">
        <f>B10*Data!H20</f>
        <v>38.58314706191134</v>
      </c>
      <c r="D10" s="3">
        <f>C10*Data!L20</f>
        <v>523199574.43434405</v>
      </c>
      <c r="E10" s="13">
        <f t="shared" si="0"/>
        <v>0.52319957443434406</v>
      </c>
      <c r="F10" s="3"/>
      <c r="G10" s="3"/>
      <c r="H10" s="3"/>
      <c r="I10" s="3"/>
      <c r="J10" s="3"/>
      <c r="K10" s="3"/>
    </row>
    <row r="11" spans="1:11" ht="15" customHeight="1" x14ac:dyDescent="0.25">
      <c r="A11" s="3">
        <v>2033</v>
      </c>
      <c r="B11" s="3">
        <v>1443.8946000000014</v>
      </c>
      <c r="C11" s="3">
        <f>B11*Data!H21</f>
        <v>36.40054877418207</v>
      </c>
      <c r="D11" s="3">
        <f>C11*Data!L21</f>
        <v>468922714.29817724</v>
      </c>
      <c r="E11" s="13">
        <f t="shared" si="0"/>
        <v>0.46892271429817722</v>
      </c>
      <c r="F11" s="3"/>
      <c r="G11" s="3"/>
      <c r="H11" s="3"/>
      <c r="I11" s="3"/>
      <c r="J11" s="3"/>
      <c r="K11" s="3"/>
    </row>
    <row r="12" spans="1:11" ht="15" customHeight="1" x14ac:dyDescent="0.25">
      <c r="A12" s="3">
        <v>2034</v>
      </c>
      <c r="B12" s="3">
        <v>1433.8414000000012</v>
      </c>
      <c r="C12" s="3">
        <f>B12*Data!H22</f>
        <v>34.339752447570909</v>
      </c>
      <c r="D12" s="3">
        <f>C12*Data!L22</f>
        <v>420256175.9340961</v>
      </c>
      <c r="E12" s="13">
        <f t="shared" si="0"/>
        <v>0.42025617593409609</v>
      </c>
      <c r="F12" s="3"/>
      <c r="G12" s="3"/>
      <c r="H12" s="3"/>
      <c r="I12" s="3"/>
      <c r="J12" s="3"/>
      <c r="K12" s="3"/>
    </row>
    <row r="13" spans="1:11" ht="15" customHeight="1" x14ac:dyDescent="0.25">
      <c r="A13" s="3">
        <v>2035</v>
      </c>
      <c r="B13" s="3">
        <v>1423.7882000000027</v>
      </c>
      <c r="C13" s="3">
        <f>B13*Data!H23</f>
        <v>32.394034381685451</v>
      </c>
      <c r="D13" s="3">
        <f>C13*Data!L23</f>
        <v>376621915.99821413</v>
      </c>
      <c r="E13" s="13">
        <f t="shared" si="0"/>
        <v>0.37662191599821415</v>
      </c>
      <c r="F13" s="3"/>
      <c r="G13" s="3"/>
      <c r="H13" s="3"/>
      <c r="I13" s="3"/>
      <c r="J13" s="3"/>
      <c r="K13" s="3"/>
    </row>
    <row r="14" spans="1:11" ht="15" customHeight="1" x14ac:dyDescent="0.25">
      <c r="A14" s="3">
        <v>2036</v>
      </c>
      <c r="B14" s="3">
        <v>1413.7349999999969</v>
      </c>
      <c r="C14" s="3">
        <f>B14*Data!H24</f>
        <v>30.557038741269455</v>
      </c>
      <c r="D14" s="3">
        <f>C14*Data!L24</f>
        <v>337501276.47735399</v>
      </c>
      <c r="E14" s="13">
        <f t="shared" si="0"/>
        <v>0.33750127647735401</v>
      </c>
      <c r="F14" s="3"/>
      <c r="G14" s="3"/>
      <c r="H14" s="3"/>
      <c r="I14" s="3"/>
      <c r="J14" s="3"/>
      <c r="K14" s="3"/>
    </row>
    <row r="15" spans="1:11" ht="15" customHeight="1" x14ac:dyDescent="0.25">
      <c r="A15" s="3">
        <v>2037</v>
      </c>
      <c r="B15" s="3">
        <v>1403.6818000000021</v>
      </c>
      <c r="C15" s="3">
        <f>B15*Data!H25</f>
        <v>28.822757578941065</v>
      </c>
      <c r="D15" s="3">
        <f>C15*Data!L25</f>
        <v>302428899.5741058</v>
      </c>
      <c r="E15" s="13">
        <f t="shared" si="0"/>
        <v>0.30242889957410579</v>
      </c>
      <c r="F15" s="3"/>
      <c r="G15" s="3"/>
      <c r="H15" s="3"/>
      <c r="I15" s="3"/>
      <c r="J15" s="3"/>
      <c r="K15" s="3"/>
    </row>
    <row r="16" spans="1:11" ht="15" customHeight="1" x14ac:dyDescent="0.25">
      <c r="A16" s="3">
        <v>2038</v>
      </c>
      <c r="B16" s="3">
        <v>1393.6285999999964</v>
      </c>
      <c r="C16" s="3">
        <f>B16*Data!H26</f>
        <v>27.185511935992132</v>
      </c>
      <c r="D16" s="3">
        <f>C16*Data!L26</f>
        <v>270987264.65747613</v>
      </c>
      <c r="E16" s="13">
        <f t="shared" si="0"/>
        <v>0.27098726465747613</v>
      </c>
      <c r="F16" s="3"/>
      <c r="G16" s="3"/>
      <c r="H16" s="3"/>
      <c r="I16" s="3"/>
      <c r="J16" s="3"/>
      <c r="K16" s="3"/>
    </row>
    <row r="17" spans="1:11" ht="15" customHeight="1" x14ac:dyDescent="0.25">
      <c r="A17" s="3">
        <v>2039</v>
      </c>
      <c r="B17" s="3">
        <v>1383.5754000000015</v>
      </c>
      <c r="C17" s="3">
        <f>B17*Data!H27</f>
        <v>25.639933963390941</v>
      </c>
      <c r="D17" s="3">
        <f>C17*Data!L27</f>
        <v>242801783.82301486</v>
      </c>
      <c r="E17" s="13">
        <f t="shared" si="0"/>
        <v>0.24280178382301484</v>
      </c>
      <c r="F17" s="3"/>
      <c r="G17" s="3"/>
      <c r="H17" s="3"/>
      <c r="I17" s="3"/>
      <c r="J17" s="3"/>
      <c r="K17" s="3"/>
    </row>
    <row r="18" spans="1:11" ht="15" customHeight="1" x14ac:dyDescent="0.25">
      <c r="A18" s="3">
        <v>2040</v>
      </c>
      <c r="B18" s="3">
        <v>1373.5222000000031</v>
      </c>
      <c r="C18" s="3">
        <f>B18*Data!H28</f>
        <v>24.18095000820982</v>
      </c>
      <c r="D18" s="3">
        <f>C18*Data!L28</f>
        <v>217536399.06662267</v>
      </c>
      <c r="E18" s="13">
        <f t="shared" si="0"/>
        <v>0.21753639906662267</v>
      </c>
      <c r="F18" s="3"/>
      <c r="G18" s="3"/>
      <c r="H18" s="3"/>
      <c r="I18" s="3"/>
      <c r="J18" s="3"/>
      <c r="K18" s="3"/>
    </row>
    <row r="19" spans="1:11" ht="15" customHeight="1" x14ac:dyDescent="0.25">
      <c r="A19" s="3">
        <v>2041</v>
      </c>
      <c r="B19" s="3">
        <v>1363.4689999999973</v>
      </c>
      <c r="C19" s="3">
        <f>B19*Data!H29</f>
        <v>22.803764613638219</v>
      </c>
      <c r="D19" s="3">
        <f>C19*Data!L29</f>
        <v>194889629.88025853</v>
      </c>
      <c r="E19" s="13">
        <f t="shared" si="0"/>
        <v>0.19488962988025854</v>
      </c>
      <c r="F19" s="3"/>
      <c r="G19" s="3"/>
      <c r="H19" s="3"/>
      <c r="I19" s="3"/>
      <c r="J19" s="3"/>
      <c r="K19" s="3"/>
    </row>
    <row r="20" spans="1:11" ht="15" customHeight="1" x14ac:dyDescent="0.25">
      <c r="A20" s="3">
        <v>2042</v>
      </c>
      <c r="B20" s="3">
        <v>1353.4157999999989</v>
      </c>
      <c r="C20" s="3">
        <f>B20*Data!H30</f>
        <v>21.503845383503361</v>
      </c>
      <c r="D20" s="3">
        <f>C20*Data!L30</f>
        <v>174591025.29160914</v>
      </c>
      <c r="E20" s="13">
        <f t="shared" si="0"/>
        <v>0.17459102529160914</v>
      </c>
      <c r="F20" s="3"/>
      <c r="G20" s="3"/>
      <c r="H20" s="3"/>
      <c r="I20" s="3"/>
      <c r="J20" s="3"/>
      <c r="K20" s="3"/>
    </row>
    <row r="21" spans="1:11" ht="15" customHeight="1" x14ac:dyDescent="0.25">
      <c r="A21" s="3">
        <v>2043</v>
      </c>
      <c r="B21" s="3">
        <v>1343.3626000000004</v>
      </c>
      <c r="C21" s="3">
        <f>B21*Data!H31</f>
        <v>20.276908664847898</v>
      </c>
      <c r="D21" s="3">
        <f>C21*Data!L31</f>
        <v>156397979.05369723</v>
      </c>
      <c r="E21" s="13">
        <f t="shared" si="0"/>
        <v>0.15639797905369723</v>
      </c>
      <c r="F21" s="3"/>
      <c r="G21" s="3"/>
      <c r="H21" s="3"/>
      <c r="I21" s="3"/>
      <c r="J21" s="3"/>
      <c r="K21" s="3"/>
    </row>
    <row r="22" spans="1:11" ht="15" customHeight="1" x14ac:dyDescent="0.25">
      <c r="A22" s="3">
        <v>2044</v>
      </c>
      <c r="B22" s="3">
        <v>1333.3094000000019</v>
      </c>
      <c r="C22" s="3">
        <f>B22*Data!H32</f>
        <v>19.118906004599225</v>
      </c>
      <c r="D22" s="3">
        <f>C22*Data!L32</f>
        <v>140092870.89799979</v>
      </c>
      <c r="E22" s="13">
        <f t="shared" si="0"/>
        <v>0.14009287089799979</v>
      </c>
      <c r="F22" s="3"/>
      <c r="G22" s="3"/>
      <c r="H22" s="3"/>
      <c r="I22" s="3"/>
      <c r="J22" s="3"/>
      <c r="K22" s="3"/>
    </row>
    <row r="23" spans="1:11" ht="15" customHeight="1" x14ac:dyDescent="0.25">
      <c r="A23" s="3">
        <v>2045</v>
      </c>
      <c r="B23" s="3">
        <v>1323.2561999999998</v>
      </c>
      <c r="C23" s="3">
        <f>B23*Data!H33</f>
        <v>18.02601133871325</v>
      </c>
      <c r="D23" s="3">
        <f>C23*Data!L33</f>
        <v>125480500.54428382</v>
      </c>
      <c r="E23" s="13">
        <f t="shared" si="0"/>
        <v>0.12548050054428384</v>
      </c>
      <c r="F23" s="3"/>
      <c r="G23" s="3"/>
      <c r="H23" s="3"/>
      <c r="I23" s="3"/>
      <c r="J23" s="3"/>
      <c r="K23" s="3"/>
    </row>
    <row r="24" spans="1:11" ht="15" customHeight="1" x14ac:dyDescent="0.25">
      <c r="A24" s="3">
        <v>2046</v>
      </c>
      <c r="B24" s="3">
        <v>1313.2030000000013</v>
      </c>
      <c r="C24" s="3">
        <f>B24*Data!H34</f>
        <v>16.994608874404417</v>
      </c>
      <c r="D24" s="3">
        <f>C24*Data!L34</f>
        <v>112385784.55556861</v>
      </c>
      <c r="E24" s="13">
        <f t="shared" si="0"/>
        <v>0.11238578455556861</v>
      </c>
      <c r="F24" s="3"/>
      <c r="G24" s="3"/>
      <c r="H24" s="3"/>
      <c r="I24" s="3"/>
      <c r="J24" s="3"/>
      <c r="K24" s="3"/>
    </row>
    <row r="25" spans="1:11" ht="15" customHeight="1" x14ac:dyDescent="0.25">
      <c r="A25" s="3">
        <v>2047</v>
      </c>
      <c r="B25" s="3">
        <v>1303.1497999999992</v>
      </c>
      <c r="C25" s="3">
        <f>B25*Data!H35</f>
        <v>16.021281628179644</v>
      </c>
      <c r="D25" s="3">
        <f>C25*Data!L35</f>
        <v>100651689.17635353</v>
      </c>
      <c r="E25" s="13">
        <f t="shared" si="0"/>
        <v>0.10065168917635353</v>
      </c>
      <c r="F25" s="3"/>
      <c r="G25" s="3"/>
      <c r="H25" s="3"/>
      <c r="I25" s="3"/>
      <c r="J25" s="3"/>
      <c r="K25" s="3"/>
    </row>
    <row r="26" spans="1:11" ht="15" customHeight="1" x14ac:dyDescent="0.25">
      <c r="A26" s="3">
        <v>2048</v>
      </c>
      <c r="B26" s="3">
        <v>1293.0965999999971</v>
      </c>
      <c r="C26" s="3">
        <f>B26*Data!H36</f>
        <v>15.102800584391334</v>
      </c>
      <c r="D26" s="3">
        <f>C26*Data!L36</f>
        <v>90137375.031653985</v>
      </c>
      <c r="E26" s="13">
        <f t="shared" si="0"/>
        <v>9.0137375031653991E-2</v>
      </c>
      <c r="F26" s="3"/>
      <c r="G26" s="3"/>
      <c r="H26" s="3"/>
      <c r="I26" s="3"/>
      <c r="J26" s="3"/>
      <c r="K26" s="3"/>
    </row>
    <row r="27" spans="1:11" ht="15" customHeight="1" x14ac:dyDescent="0.25">
      <c r="A27" s="3">
        <v>2049</v>
      </c>
      <c r="B27" s="3">
        <v>1283.0434000000023</v>
      </c>
      <c r="C27" s="3">
        <f>B27*Data!H37</f>
        <v>14.236114440911486</v>
      </c>
      <c r="D27" s="3">
        <f>C27*Data!L37</f>
        <v>80716532.024938598</v>
      </c>
      <c r="E27" s="13">
        <f t="shared" si="0"/>
        <v>8.07165320249386E-2</v>
      </c>
      <c r="F27" s="3"/>
      <c r="G27" s="3"/>
      <c r="H27" s="3"/>
      <c r="I27" s="3"/>
      <c r="J27" s="3"/>
      <c r="K27" s="3"/>
    </row>
    <row r="28" spans="1:11" ht="15" customHeight="1" x14ac:dyDescent="0.25">
      <c r="A28" s="3">
        <v>2050</v>
      </c>
      <c r="B28" s="3">
        <v>1272.9902000000002</v>
      </c>
      <c r="C28" s="3">
        <f>B28*Data!H38</f>
        <v>13.41833991031857</v>
      </c>
      <c r="D28" s="3">
        <f>C28*Data!L38</f>
        <v>72275884.983137667</v>
      </c>
      <c r="E28" s="13">
        <f t="shared" si="0"/>
        <v>7.2275884983137667E-2</v>
      </c>
      <c r="F28" s="3"/>
      <c r="G28" s="3"/>
      <c r="H28" s="3"/>
      <c r="I28" s="3"/>
      <c r="J28" s="3"/>
      <c r="K28" s="3"/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</vt:lpstr>
      <vt:lpstr>Cost Saving</vt:lpstr>
      <vt:lpstr>Emission Saving</vt:lpstr>
      <vt:lpstr>Land Saving</vt:lpstr>
      <vt:lpstr>Water Saving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zhao</cp:lastModifiedBy>
  <dcterms:created xsi:type="dcterms:W3CDTF">2015-06-05T18:19:34Z</dcterms:created>
  <dcterms:modified xsi:type="dcterms:W3CDTF">2025-01-16T18:28:23Z</dcterms:modified>
</cp:coreProperties>
</file>