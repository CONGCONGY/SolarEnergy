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aper\博士论文\喷淋\ManuscriptFinal\"/>
    </mc:Choice>
  </mc:AlternateContent>
  <xr:revisionPtr revIDLastSave="0" documentId="13_ncr:1_{66CB6301-C2FD-4E5B-B220-7D0A95597969}" xr6:coauthVersionLast="47" xr6:coauthVersionMax="47" xr10:uidLastSave="{00000000-0000-0000-0000-000000000000}"/>
  <bookViews>
    <workbookView xWindow="-13068" yWindow="-108" windowWidth="13176" windowHeight="22536" tabRatio="686" firstSheet="2" activeTab="3" xr2:uid="{00000000-000D-0000-FFFF-FFFF00000000}"/>
  </bookViews>
  <sheets>
    <sheet name="Data" sheetId="1" r:id="rId1"/>
    <sheet name="Spray cooling PVT result" sheetId="2" r:id="rId2"/>
    <sheet name="Tube plate PVT result" sheetId="5" r:id="rId3"/>
    <sheet name="Flat plate PVT resul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4" l="1"/>
  <c r="U3" i="4"/>
  <c r="T3" i="4"/>
  <c r="S3" i="4"/>
  <c r="S16" i="4" s="1"/>
  <c r="S32" i="4" s="1"/>
  <c r="R3" i="4"/>
  <c r="R16" i="4" s="1"/>
  <c r="R32" i="4" s="1"/>
  <c r="Q3" i="4"/>
  <c r="Q16" i="4" s="1"/>
  <c r="Q32" i="4" s="1"/>
  <c r="P3" i="4"/>
  <c r="P16" i="4" s="1"/>
  <c r="P32" i="4" s="1"/>
  <c r="O3" i="4"/>
  <c r="O16" i="4" s="1"/>
  <c r="O32" i="4" s="1"/>
  <c r="F3" i="4"/>
  <c r="G3" i="4"/>
  <c r="H3" i="4"/>
  <c r="I3" i="4"/>
  <c r="J3" i="4"/>
  <c r="K3" i="4"/>
  <c r="L3" i="4"/>
  <c r="L16" i="4" s="1"/>
  <c r="L32" i="4" s="1"/>
  <c r="E3" i="4"/>
  <c r="U16" i="4"/>
  <c r="U32" i="4" s="1"/>
  <c r="B11" i="4"/>
  <c r="B10" i="4"/>
  <c r="B9" i="4"/>
  <c r="B8" i="4"/>
  <c r="B7" i="4"/>
  <c r="B6" i="4"/>
  <c r="B5" i="4"/>
  <c r="B4" i="4"/>
  <c r="B3" i="4"/>
  <c r="J21" i="5"/>
  <c r="V3" i="5"/>
  <c r="U3" i="5"/>
  <c r="U16" i="5" s="1"/>
  <c r="U32" i="5" s="1"/>
  <c r="T3" i="5"/>
  <c r="T16" i="5" s="1"/>
  <c r="T32" i="5" s="1"/>
  <c r="S3" i="5"/>
  <c r="R3" i="5"/>
  <c r="Q3" i="5"/>
  <c r="P3" i="5"/>
  <c r="O3" i="5"/>
  <c r="O16" i="5" s="1"/>
  <c r="F3" i="5"/>
  <c r="G3" i="5"/>
  <c r="H3" i="5"/>
  <c r="I3" i="5"/>
  <c r="J3" i="5"/>
  <c r="K3" i="5"/>
  <c r="L3" i="5"/>
  <c r="E3" i="5"/>
  <c r="E16" i="5" s="1"/>
  <c r="B11" i="5"/>
  <c r="B10" i="5"/>
  <c r="B9" i="5"/>
  <c r="B8" i="5"/>
  <c r="B7" i="5"/>
  <c r="B6" i="5"/>
  <c r="B5" i="5"/>
  <c r="B4" i="5"/>
  <c r="B3" i="5"/>
  <c r="Q36" i="2"/>
  <c r="S40" i="2"/>
  <c r="T40" i="2"/>
  <c r="V41" i="2"/>
  <c r="P42" i="2"/>
  <c r="J39" i="2"/>
  <c r="O18" i="2"/>
  <c r="O34" i="2" s="1"/>
  <c r="P18" i="2"/>
  <c r="P34" i="2" s="1"/>
  <c r="Q18" i="2"/>
  <c r="Q34" i="2" s="1"/>
  <c r="R18" i="2"/>
  <c r="R34" i="2" s="1"/>
  <c r="S18" i="2"/>
  <c r="S34" i="2" s="1"/>
  <c r="T18" i="2"/>
  <c r="T34" i="2" s="1"/>
  <c r="U18" i="2"/>
  <c r="U34" i="2" s="1"/>
  <c r="V18" i="2"/>
  <c r="V34" i="2" s="1"/>
  <c r="O19" i="2"/>
  <c r="O35" i="2" s="1"/>
  <c r="P19" i="2"/>
  <c r="P35" i="2" s="1"/>
  <c r="Q19" i="2"/>
  <c r="Q35" i="2" s="1"/>
  <c r="R19" i="2"/>
  <c r="R35" i="2" s="1"/>
  <c r="S19" i="2"/>
  <c r="S35" i="2" s="1"/>
  <c r="T19" i="2"/>
  <c r="T35" i="2" s="1"/>
  <c r="U19" i="2"/>
  <c r="U35" i="2" s="1"/>
  <c r="V19" i="2"/>
  <c r="V35" i="2" s="1"/>
  <c r="O20" i="2"/>
  <c r="O36" i="2" s="1"/>
  <c r="P20" i="2"/>
  <c r="P36" i="2" s="1"/>
  <c r="Q20" i="2"/>
  <c r="R20" i="2"/>
  <c r="R36" i="2" s="1"/>
  <c r="S20" i="2"/>
  <c r="S36" i="2" s="1"/>
  <c r="T20" i="2"/>
  <c r="T36" i="2" s="1"/>
  <c r="U20" i="2"/>
  <c r="U36" i="2" s="1"/>
  <c r="V20" i="2"/>
  <c r="V36" i="2" s="1"/>
  <c r="O21" i="2"/>
  <c r="O37" i="2" s="1"/>
  <c r="P21" i="2"/>
  <c r="P37" i="2" s="1"/>
  <c r="Q21" i="2"/>
  <c r="Q37" i="2" s="1"/>
  <c r="R21" i="2"/>
  <c r="R37" i="2" s="1"/>
  <c r="S21" i="2"/>
  <c r="S37" i="2" s="1"/>
  <c r="T21" i="2"/>
  <c r="T37" i="2" s="1"/>
  <c r="U21" i="2"/>
  <c r="U37" i="2" s="1"/>
  <c r="V21" i="2"/>
  <c r="V37" i="2" s="1"/>
  <c r="O22" i="2"/>
  <c r="O38" i="2" s="1"/>
  <c r="P22" i="2"/>
  <c r="P38" i="2" s="1"/>
  <c r="Q22" i="2"/>
  <c r="Q38" i="2" s="1"/>
  <c r="R22" i="2"/>
  <c r="R38" i="2" s="1"/>
  <c r="S22" i="2"/>
  <c r="S38" i="2" s="1"/>
  <c r="T22" i="2"/>
  <c r="T38" i="2" s="1"/>
  <c r="U22" i="2"/>
  <c r="U38" i="2" s="1"/>
  <c r="V22" i="2"/>
  <c r="V38" i="2" s="1"/>
  <c r="O23" i="2"/>
  <c r="O39" i="2" s="1"/>
  <c r="P23" i="2"/>
  <c r="P39" i="2" s="1"/>
  <c r="Q23" i="2"/>
  <c r="Q39" i="2" s="1"/>
  <c r="R23" i="2"/>
  <c r="R39" i="2" s="1"/>
  <c r="S23" i="2"/>
  <c r="S39" i="2" s="1"/>
  <c r="T23" i="2"/>
  <c r="T39" i="2" s="1"/>
  <c r="U23" i="2"/>
  <c r="U39" i="2" s="1"/>
  <c r="V23" i="2"/>
  <c r="V39" i="2" s="1"/>
  <c r="O24" i="2"/>
  <c r="O40" i="2" s="1"/>
  <c r="P24" i="2"/>
  <c r="P40" i="2" s="1"/>
  <c r="Q24" i="2"/>
  <c r="Q40" i="2" s="1"/>
  <c r="R24" i="2"/>
  <c r="R40" i="2" s="1"/>
  <c r="S24" i="2"/>
  <c r="T24" i="2"/>
  <c r="U24" i="2"/>
  <c r="U40" i="2" s="1"/>
  <c r="V24" i="2"/>
  <c r="V40" i="2" s="1"/>
  <c r="O25" i="2"/>
  <c r="O41" i="2" s="1"/>
  <c r="P25" i="2"/>
  <c r="P41" i="2" s="1"/>
  <c r="Q25" i="2"/>
  <c r="Q41" i="2" s="1"/>
  <c r="R25" i="2"/>
  <c r="R41" i="2" s="1"/>
  <c r="S25" i="2"/>
  <c r="S41" i="2" s="1"/>
  <c r="T25" i="2"/>
  <c r="T41" i="2" s="1"/>
  <c r="U25" i="2"/>
  <c r="U41" i="2" s="1"/>
  <c r="V25" i="2"/>
  <c r="O26" i="2"/>
  <c r="O42" i="2" s="1"/>
  <c r="P26" i="2"/>
  <c r="Q26" i="2"/>
  <c r="Q42" i="2" s="1"/>
  <c r="R26" i="2"/>
  <c r="R42" i="2" s="1"/>
  <c r="S26" i="2"/>
  <c r="S42" i="2" s="1"/>
  <c r="T26" i="2"/>
  <c r="T42" i="2" s="1"/>
  <c r="U26" i="2"/>
  <c r="U42" i="2" s="1"/>
  <c r="V26" i="2"/>
  <c r="V42" i="2" s="1"/>
  <c r="V17" i="2"/>
  <c r="V33" i="2" s="1"/>
  <c r="U17" i="2"/>
  <c r="U33" i="2" s="1"/>
  <c r="T17" i="2"/>
  <c r="T33" i="2" s="1"/>
  <c r="S17" i="2"/>
  <c r="S33" i="2" s="1"/>
  <c r="R17" i="2"/>
  <c r="R33" i="2" s="1"/>
  <c r="Q17" i="2"/>
  <c r="Q33" i="2" s="1"/>
  <c r="P17" i="2"/>
  <c r="P33" i="2" s="1"/>
  <c r="O17" i="2"/>
  <c r="O33" i="2" s="1"/>
  <c r="F19" i="2"/>
  <c r="F35" i="2" s="1"/>
  <c r="G19" i="2"/>
  <c r="G35" i="2" s="1"/>
  <c r="H19" i="2"/>
  <c r="H35" i="2" s="1"/>
  <c r="J20" i="2"/>
  <c r="J36" i="2" s="1"/>
  <c r="K20" i="2"/>
  <c r="K36" i="2" s="1"/>
  <c r="L20" i="2"/>
  <c r="L36" i="2" s="1"/>
  <c r="E22" i="2"/>
  <c r="E38" i="2" s="1"/>
  <c r="F22" i="2"/>
  <c r="F38" i="2" s="1"/>
  <c r="G22" i="2"/>
  <c r="G38" i="2" s="1"/>
  <c r="H22" i="2"/>
  <c r="H38" i="2" s="1"/>
  <c r="J23" i="2"/>
  <c r="K23" i="2"/>
  <c r="K39" i="2" s="1"/>
  <c r="L23" i="2"/>
  <c r="L39" i="2" s="1"/>
  <c r="F25" i="2"/>
  <c r="F41" i="2" s="1"/>
  <c r="G25" i="2"/>
  <c r="G41" i="2" s="1"/>
  <c r="H25" i="2"/>
  <c r="H41" i="2" s="1"/>
  <c r="I26" i="2"/>
  <c r="I42" i="2" s="1"/>
  <c r="J26" i="2"/>
  <c r="J42" i="2" s="1"/>
  <c r="K26" i="2"/>
  <c r="K42" i="2" s="1"/>
  <c r="L26" i="2"/>
  <c r="L42" i="2" s="1"/>
  <c r="Q3" i="2"/>
  <c r="Q16" i="2" s="1"/>
  <c r="Q32" i="2" s="1"/>
  <c r="P3" i="2"/>
  <c r="P16" i="2" s="1"/>
  <c r="P32" i="2" s="1"/>
  <c r="E18" i="2"/>
  <c r="E34" i="2" s="1"/>
  <c r="L3" i="2"/>
  <c r="L16" i="2" s="1"/>
  <c r="L32" i="2" s="1"/>
  <c r="B11" i="2"/>
  <c r="B4" i="2"/>
  <c r="B5" i="2"/>
  <c r="B6" i="2"/>
  <c r="B7" i="2"/>
  <c r="B8" i="2"/>
  <c r="B9" i="2"/>
  <c r="B10" i="2"/>
  <c r="B3" i="2"/>
  <c r="H24" i="1"/>
  <c r="F24" i="1"/>
  <c r="D25" i="1"/>
  <c r="D26" i="1"/>
  <c r="D27" i="1"/>
  <c r="D28" i="1"/>
  <c r="D29" i="1"/>
  <c r="D30" i="1"/>
  <c r="D31" i="1"/>
  <c r="D32" i="1"/>
  <c r="D24" i="1"/>
  <c r="B24" i="1"/>
  <c r="D14" i="1"/>
  <c r="D15" i="1"/>
  <c r="D16" i="1"/>
  <c r="D17" i="1"/>
  <c r="D18" i="1"/>
  <c r="D19" i="1"/>
  <c r="D20" i="1"/>
  <c r="D21" i="1"/>
  <c r="D13" i="1"/>
  <c r="C14" i="1"/>
  <c r="C15" i="1"/>
  <c r="C16" i="1"/>
  <c r="C17" i="1"/>
  <c r="C18" i="1"/>
  <c r="C19" i="1"/>
  <c r="C20" i="1"/>
  <c r="C21" i="1"/>
  <c r="C13" i="1"/>
  <c r="B21" i="1"/>
  <c r="B20" i="1"/>
  <c r="B19" i="1"/>
  <c r="B18" i="1"/>
  <c r="B17" i="1"/>
  <c r="B16" i="1"/>
  <c r="B15" i="1"/>
  <c r="B14" i="1"/>
  <c r="B13" i="1"/>
  <c r="V16" i="4" l="1"/>
  <c r="V32" i="4" s="1"/>
  <c r="E16" i="4"/>
  <c r="E32" i="4" s="1"/>
  <c r="S26" i="4"/>
  <c r="S42" i="4" s="1"/>
  <c r="E26" i="4"/>
  <c r="E42" i="4" s="1"/>
  <c r="I25" i="4"/>
  <c r="I41" i="4" s="1"/>
  <c r="O24" i="4"/>
  <c r="O40" i="4" s="1"/>
  <c r="S23" i="4"/>
  <c r="S39" i="4" s="1"/>
  <c r="E23" i="4"/>
  <c r="E39" i="4" s="1"/>
  <c r="I22" i="4"/>
  <c r="I38" i="4" s="1"/>
  <c r="O21" i="4"/>
  <c r="O37" i="4" s="1"/>
  <c r="S20" i="4"/>
  <c r="S36" i="4" s="1"/>
  <c r="E20" i="4"/>
  <c r="E36" i="4" s="1"/>
  <c r="I19" i="4"/>
  <c r="I35" i="4" s="1"/>
  <c r="O18" i="4"/>
  <c r="O34" i="4" s="1"/>
  <c r="S17" i="4"/>
  <c r="S33" i="4" s="1"/>
  <c r="E17" i="4"/>
  <c r="E33" i="4" s="1"/>
  <c r="I16" i="4"/>
  <c r="I32" i="4" s="1"/>
  <c r="U17" i="4"/>
  <c r="U33" i="4" s="1"/>
  <c r="R26" i="4"/>
  <c r="R42" i="4" s="1"/>
  <c r="V25" i="4"/>
  <c r="V41" i="4" s="1"/>
  <c r="H25" i="4"/>
  <c r="H41" i="4" s="1"/>
  <c r="L24" i="4"/>
  <c r="L40" i="4" s="1"/>
  <c r="R23" i="4"/>
  <c r="R39" i="4" s="1"/>
  <c r="V22" i="4"/>
  <c r="V38" i="4" s="1"/>
  <c r="H22" i="4"/>
  <c r="H38" i="4" s="1"/>
  <c r="L21" i="4"/>
  <c r="L37" i="4" s="1"/>
  <c r="R20" i="4"/>
  <c r="R36" i="4" s="1"/>
  <c r="V19" i="4"/>
  <c r="V35" i="4" s="1"/>
  <c r="H19" i="4"/>
  <c r="H35" i="4" s="1"/>
  <c r="L18" i="4"/>
  <c r="L34" i="4" s="1"/>
  <c r="R17" i="4"/>
  <c r="R33" i="4" s="1"/>
  <c r="K18" i="4"/>
  <c r="K34" i="4" s="1"/>
  <c r="K22" i="4"/>
  <c r="K38" i="4" s="1"/>
  <c r="Q26" i="4"/>
  <c r="Q42" i="4" s="1"/>
  <c r="U25" i="4"/>
  <c r="U41" i="4" s="1"/>
  <c r="G25" i="4"/>
  <c r="G41" i="4" s="1"/>
  <c r="K24" i="4"/>
  <c r="K40" i="4" s="1"/>
  <c r="Q23" i="4"/>
  <c r="Q39" i="4" s="1"/>
  <c r="U22" i="4"/>
  <c r="U38" i="4" s="1"/>
  <c r="G22" i="4"/>
  <c r="G38" i="4" s="1"/>
  <c r="K21" i="4"/>
  <c r="K37" i="4" s="1"/>
  <c r="Q20" i="4"/>
  <c r="Q36" i="4" s="1"/>
  <c r="U19" i="4"/>
  <c r="U35" i="4" s="1"/>
  <c r="G19" i="4"/>
  <c r="G35" i="4" s="1"/>
  <c r="Q17" i="4"/>
  <c r="Q33" i="4" s="1"/>
  <c r="Q21" i="4"/>
  <c r="Q37" i="4" s="1"/>
  <c r="P26" i="4"/>
  <c r="P42" i="4" s="1"/>
  <c r="T25" i="4"/>
  <c r="T41" i="4" s="1"/>
  <c r="F25" i="4"/>
  <c r="F41" i="4" s="1"/>
  <c r="J24" i="4"/>
  <c r="J40" i="4" s="1"/>
  <c r="P23" i="4"/>
  <c r="P39" i="4" s="1"/>
  <c r="T22" i="4"/>
  <c r="T38" i="4" s="1"/>
  <c r="F22" i="4"/>
  <c r="F38" i="4" s="1"/>
  <c r="J21" i="4"/>
  <c r="J37" i="4" s="1"/>
  <c r="P20" i="4"/>
  <c r="P36" i="4" s="1"/>
  <c r="T19" i="4"/>
  <c r="T35" i="4" s="1"/>
  <c r="F19" i="4"/>
  <c r="F35" i="4" s="1"/>
  <c r="J18" i="4"/>
  <c r="J34" i="4" s="1"/>
  <c r="P17" i="4"/>
  <c r="P33" i="4" s="1"/>
  <c r="L25" i="4"/>
  <c r="L41" i="4" s="1"/>
  <c r="V20" i="4"/>
  <c r="V36" i="4" s="1"/>
  <c r="R18" i="4"/>
  <c r="R34" i="4" s="1"/>
  <c r="U26" i="4"/>
  <c r="U42" i="4" s="1"/>
  <c r="K19" i="4"/>
  <c r="K35" i="4" s="1"/>
  <c r="O26" i="4"/>
  <c r="O42" i="4" s="1"/>
  <c r="S25" i="4"/>
  <c r="S41" i="4" s="1"/>
  <c r="E25" i="4"/>
  <c r="E41" i="4" s="1"/>
  <c r="I24" i="4"/>
  <c r="I40" i="4" s="1"/>
  <c r="O23" i="4"/>
  <c r="O39" i="4" s="1"/>
  <c r="S22" i="4"/>
  <c r="S38" i="4" s="1"/>
  <c r="E22" i="4"/>
  <c r="E38" i="4" s="1"/>
  <c r="I21" i="4"/>
  <c r="I37" i="4" s="1"/>
  <c r="O20" i="4"/>
  <c r="O36" i="4" s="1"/>
  <c r="S19" i="4"/>
  <c r="S35" i="4" s="1"/>
  <c r="E19" i="4"/>
  <c r="E35" i="4" s="1"/>
  <c r="I18" i="4"/>
  <c r="I34" i="4" s="1"/>
  <c r="O17" i="4"/>
  <c r="O33" i="4" s="1"/>
  <c r="R24" i="4"/>
  <c r="R40" i="4" s="1"/>
  <c r="L22" i="4"/>
  <c r="L38" i="4" s="1"/>
  <c r="L19" i="4"/>
  <c r="L35" i="4" s="1"/>
  <c r="G20" i="4"/>
  <c r="G36" i="4" s="1"/>
  <c r="L26" i="4"/>
  <c r="L42" i="4" s="1"/>
  <c r="R25" i="4"/>
  <c r="R41" i="4" s="1"/>
  <c r="V24" i="4"/>
  <c r="V40" i="4" s="1"/>
  <c r="H24" i="4"/>
  <c r="H40" i="4" s="1"/>
  <c r="L23" i="4"/>
  <c r="L39" i="4" s="1"/>
  <c r="R22" i="4"/>
  <c r="R38" i="4" s="1"/>
  <c r="V21" i="4"/>
  <c r="V37" i="4" s="1"/>
  <c r="H21" i="4"/>
  <c r="H37" i="4" s="1"/>
  <c r="L20" i="4"/>
  <c r="L36" i="4" s="1"/>
  <c r="R19" i="4"/>
  <c r="R35" i="4" s="1"/>
  <c r="V18" i="4"/>
  <c r="V34" i="4" s="1"/>
  <c r="H18" i="4"/>
  <c r="H34" i="4" s="1"/>
  <c r="L17" i="4"/>
  <c r="L33" i="4" s="1"/>
  <c r="H26" i="4"/>
  <c r="H42" i="4" s="1"/>
  <c r="R21" i="4"/>
  <c r="R37" i="4" s="1"/>
  <c r="V17" i="4"/>
  <c r="V33" i="4" s="1"/>
  <c r="U23" i="4"/>
  <c r="U39" i="4" s="1"/>
  <c r="U20" i="4"/>
  <c r="U36" i="4" s="1"/>
  <c r="K26" i="4"/>
  <c r="K42" i="4" s="1"/>
  <c r="Q25" i="4"/>
  <c r="Q41" i="4" s="1"/>
  <c r="U24" i="4"/>
  <c r="U40" i="4" s="1"/>
  <c r="G24" i="4"/>
  <c r="G40" i="4" s="1"/>
  <c r="K23" i="4"/>
  <c r="K39" i="4" s="1"/>
  <c r="Q22" i="4"/>
  <c r="Q38" i="4" s="1"/>
  <c r="U21" i="4"/>
  <c r="U37" i="4" s="1"/>
  <c r="G21" i="4"/>
  <c r="G37" i="4" s="1"/>
  <c r="K20" i="4"/>
  <c r="K36" i="4" s="1"/>
  <c r="Q19" i="4"/>
  <c r="Q35" i="4" s="1"/>
  <c r="U18" i="4"/>
  <c r="U34" i="4" s="1"/>
  <c r="G18" i="4"/>
  <c r="G34" i="4" s="1"/>
  <c r="K17" i="4"/>
  <c r="K33" i="4" s="1"/>
  <c r="V26" i="4"/>
  <c r="V42" i="4" s="1"/>
  <c r="H20" i="4"/>
  <c r="H36" i="4" s="1"/>
  <c r="G23" i="4"/>
  <c r="G39" i="4" s="1"/>
  <c r="Q18" i="4"/>
  <c r="Q34" i="4" s="1"/>
  <c r="J26" i="4"/>
  <c r="J42" i="4" s="1"/>
  <c r="P25" i="4"/>
  <c r="P41" i="4" s="1"/>
  <c r="T24" i="4"/>
  <c r="T40" i="4" s="1"/>
  <c r="F24" i="4"/>
  <c r="F40" i="4" s="1"/>
  <c r="J23" i="4"/>
  <c r="J39" i="4" s="1"/>
  <c r="P22" i="4"/>
  <c r="P38" i="4" s="1"/>
  <c r="T21" i="4"/>
  <c r="T37" i="4" s="1"/>
  <c r="F21" i="4"/>
  <c r="F37" i="4" s="1"/>
  <c r="J20" i="4"/>
  <c r="J36" i="4" s="1"/>
  <c r="P19" i="4"/>
  <c r="P35" i="4" s="1"/>
  <c r="T18" i="4"/>
  <c r="T34" i="4" s="1"/>
  <c r="F18" i="4"/>
  <c r="F34" i="4" s="1"/>
  <c r="J17" i="4"/>
  <c r="J33" i="4" s="1"/>
  <c r="V23" i="4"/>
  <c r="V39" i="4" s="1"/>
  <c r="K25" i="4"/>
  <c r="K41" i="4" s="1"/>
  <c r="K16" i="4"/>
  <c r="K32" i="4" s="1"/>
  <c r="I26" i="4"/>
  <c r="I42" i="4" s="1"/>
  <c r="O25" i="4"/>
  <c r="O41" i="4" s="1"/>
  <c r="S24" i="4"/>
  <c r="S40" i="4" s="1"/>
  <c r="E24" i="4"/>
  <c r="E40" i="4" s="1"/>
  <c r="I23" i="4"/>
  <c r="I39" i="4" s="1"/>
  <c r="O22" i="4"/>
  <c r="O38" i="4" s="1"/>
  <c r="S21" i="4"/>
  <c r="S37" i="4" s="1"/>
  <c r="E21" i="4"/>
  <c r="E37" i="4" s="1"/>
  <c r="I20" i="4"/>
  <c r="I36" i="4" s="1"/>
  <c r="O19" i="4"/>
  <c r="O35" i="4" s="1"/>
  <c r="S18" i="4"/>
  <c r="S34" i="4" s="1"/>
  <c r="E18" i="4"/>
  <c r="E34" i="4" s="1"/>
  <c r="I17" i="4"/>
  <c r="I33" i="4" s="1"/>
  <c r="H23" i="4"/>
  <c r="H39" i="4" s="1"/>
  <c r="H17" i="4"/>
  <c r="H33" i="4" s="1"/>
  <c r="G26" i="4"/>
  <c r="G42" i="4" s="1"/>
  <c r="G17" i="4"/>
  <c r="G33" i="4" s="1"/>
  <c r="T26" i="4"/>
  <c r="T42" i="4" s="1"/>
  <c r="F26" i="4"/>
  <c r="F42" i="4" s="1"/>
  <c r="J25" i="4"/>
  <c r="J41" i="4" s="1"/>
  <c r="P24" i="4"/>
  <c r="P40" i="4" s="1"/>
  <c r="T23" i="4"/>
  <c r="T39" i="4" s="1"/>
  <c r="F23" i="4"/>
  <c r="F39" i="4" s="1"/>
  <c r="J22" i="4"/>
  <c r="J38" i="4" s="1"/>
  <c r="P21" i="4"/>
  <c r="P37" i="4" s="1"/>
  <c r="T20" i="4"/>
  <c r="T36" i="4" s="1"/>
  <c r="F20" i="4"/>
  <c r="F36" i="4" s="1"/>
  <c r="J19" i="4"/>
  <c r="J35" i="4" s="1"/>
  <c r="P18" i="4"/>
  <c r="P34" i="4" s="1"/>
  <c r="T17" i="4"/>
  <c r="T33" i="4" s="1"/>
  <c r="F17" i="4"/>
  <c r="F33" i="4" s="1"/>
  <c r="Q24" i="4"/>
  <c r="Q40" i="4" s="1"/>
  <c r="H16" i="4"/>
  <c r="H32" i="4" s="1"/>
  <c r="J16" i="4"/>
  <c r="J32" i="4" s="1"/>
  <c r="F16" i="4"/>
  <c r="F32" i="4" s="1"/>
  <c r="T16" i="4"/>
  <c r="T32" i="4" s="1"/>
  <c r="G16" i="4"/>
  <c r="G32" i="4" s="1"/>
  <c r="F16" i="5"/>
  <c r="F32" i="5" s="1"/>
  <c r="G16" i="5"/>
  <c r="G32" i="5" s="1"/>
  <c r="T26" i="5"/>
  <c r="T42" i="5" s="1"/>
  <c r="F26" i="5"/>
  <c r="F42" i="5" s="1"/>
  <c r="J25" i="5"/>
  <c r="J41" i="5" s="1"/>
  <c r="P24" i="5"/>
  <c r="P40" i="5" s="1"/>
  <c r="T23" i="5"/>
  <c r="T39" i="5" s="1"/>
  <c r="F23" i="5"/>
  <c r="F39" i="5" s="1"/>
  <c r="J22" i="5"/>
  <c r="J38" i="5" s="1"/>
  <c r="P21" i="5"/>
  <c r="P37" i="5" s="1"/>
  <c r="T20" i="5"/>
  <c r="T36" i="5" s="1"/>
  <c r="F20" i="5"/>
  <c r="F36" i="5" s="1"/>
  <c r="J19" i="5"/>
  <c r="J35" i="5" s="1"/>
  <c r="P18" i="5"/>
  <c r="P34" i="5" s="1"/>
  <c r="T17" i="5"/>
  <c r="T33" i="5" s="1"/>
  <c r="F17" i="5"/>
  <c r="F33" i="5" s="1"/>
  <c r="F24" i="5"/>
  <c r="F40" i="5" s="1"/>
  <c r="P16" i="5"/>
  <c r="P32" i="5" s="1"/>
  <c r="S26" i="5"/>
  <c r="S42" i="5" s="1"/>
  <c r="E26" i="5"/>
  <c r="E42" i="5" s="1"/>
  <c r="I25" i="5"/>
  <c r="I41" i="5" s="1"/>
  <c r="O24" i="5"/>
  <c r="O40" i="5" s="1"/>
  <c r="S23" i="5"/>
  <c r="S39" i="5" s="1"/>
  <c r="E23" i="5"/>
  <c r="E39" i="5" s="1"/>
  <c r="I22" i="5"/>
  <c r="I38" i="5" s="1"/>
  <c r="O21" i="5"/>
  <c r="O37" i="5" s="1"/>
  <c r="S20" i="5"/>
  <c r="S36" i="5" s="1"/>
  <c r="E20" i="5"/>
  <c r="E36" i="5" s="1"/>
  <c r="I19" i="5"/>
  <c r="I35" i="5" s="1"/>
  <c r="O18" i="5"/>
  <c r="O34" i="5" s="1"/>
  <c r="S17" i="5"/>
  <c r="S33" i="5" s="1"/>
  <c r="E17" i="5"/>
  <c r="E33" i="5" s="1"/>
  <c r="K20" i="5"/>
  <c r="K36" i="5" s="1"/>
  <c r="T21" i="5"/>
  <c r="T37" i="5" s="1"/>
  <c r="R26" i="5"/>
  <c r="R42" i="5" s="1"/>
  <c r="V25" i="5"/>
  <c r="V41" i="5" s="1"/>
  <c r="H25" i="5"/>
  <c r="H41" i="5" s="1"/>
  <c r="L24" i="5"/>
  <c r="L40" i="5" s="1"/>
  <c r="R23" i="5"/>
  <c r="R39" i="5" s="1"/>
  <c r="V22" i="5"/>
  <c r="V38" i="5" s="1"/>
  <c r="H22" i="5"/>
  <c r="H38" i="5" s="1"/>
  <c r="L21" i="5"/>
  <c r="L37" i="5" s="1"/>
  <c r="R20" i="5"/>
  <c r="R36" i="5" s="1"/>
  <c r="V19" i="5"/>
  <c r="V35" i="5" s="1"/>
  <c r="H19" i="5"/>
  <c r="H35" i="5" s="1"/>
  <c r="L18" i="5"/>
  <c r="L34" i="5" s="1"/>
  <c r="R17" i="5"/>
  <c r="R33" i="5" s="1"/>
  <c r="U24" i="5"/>
  <c r="U40" i="5" s="1"/>
  <c r="U21" i="5"/>
  <c r="U37" i="5" s="1"/>
  <c r="G18" i="5"/>
  <c r="G34" i="5" s="1"/>
  <c r="J26" i="5"/>
  <c r="J42" i="5" s="1"/>
  <c r="F21" i="5"/>
  <c r="F37" i="5" s="1"/>
  <c r="F18" i="5"/>
  <c r="F34" i="5" s="1"/>
  <c r="Q26" i="5"/>
  <c r="Q42" i="5" s="1"/>
  <c r="U25" i="5"/>
  <c r="U41" i="5" s="1"/>
  <c r="G25" i="5"/>
  <c r="G41" i="5" s="1"/>
  <c r="K24" i="5"/>
  <c r="K40" i="5" s="1"/>
  <c r="Q23" i="5"/>
  <c r="Q39" i="5" s="1"/>
  <c r="U22" i="5"/>
  <c r="U38" i="5" s="1"/>
  <c r="G22" i="5"/>
  <c r="G38" i="5" s="1"/>
  <c r="K21" i="5"/>
  <c r="K37" i="5" s="1"/>
  <c r="Q20" i="5"/>
  <c r="Q36" i="5" s="1"/>
  <c r="U19" i="5"/>
  <c r="U35" i="5" s="1"/>
  <c r="G19" i="5"/>
  <c r="G35" i="5" s="1"/>
  <c r="K18" i="5"/>
  <c r="K34" i="5" s="1"/>
  <c r="Q17" i="5"/>
  <c r="Q33" i="5" s="1"/>
  <c r="P26" i="5"/>
  <c r="P42" i="5" s="1"/>
  <c r="T25" i="5"/>
  <c r="T41" i="5" s="1"/>
  <c r="F25" i="5"/>
  <c r="F41" i="5" s="1"/>
  <c r="J24" i="5"/>
  <c r="J40" i="5" s="1"/>
  <c r="P23" i="5"/>
  <c r="P39" i="5" s="1"/>
  <c r="T22" i="5"/>
  <c r="T38" i="5" s="1"/>
  <c r="F22" i="5"/>
  <c r="F38" i="5" s="1"/>
  <c r="J37" i="5"/>
  <c r="P20" i="5"/>
  <c r="P36" i="5" s="1"/>
  <c r="T19" i="5"/>
  <c r="T35" i="5" s="1"/>
  <c r="F19" i="5"/>
  <c r="F35" i="5" s="1"/>
  <c r="J18" i="5"/>
  <c r="J34" i="5" s="1"/>
  <c r="P17" i="5"/>
  <c r="P33" i="5" s="1"/>
  <c r="K23" i="5"/>
  <c r="K39" i="5" s="1"/>
  <c r="K17" i="5"/>
  <c r="K33" i="5" s="1"/>
  <c r="J20" i="5"/>
  <c r="J36" i="5" s="1"/>
  <c r="J17" i="5"/>
  <c r="J33" i="5" s="1"/>
  <c r="O26" i="5"/>
  <c r="O42" i="5" s="1"/>
  <c r="S25" i="5"/>
  <c r="S41" i="5" s="1"/>
  <c r="E25" i="5"/>
  <c r="E41" i="5" s="1"/>
  <c r="I24" i="5"/>
  <c r="I40" i="5" s="1"/>
  <c r="O23" i="5"/>
  <c r="O39" i="5" s="1"/>
  <c r="S22" i="5"/>
  <c r="S38" i="5" s="1"/>
  <c r="E22" i="5"/>
  <c r="E38" i="5" s="1"/>
  <c r="I21" i="5"/>
  <c r="I37" i="5" s="1"/>
  <c r="O20" i="5"/>
  <c r="O36" i="5" s="1"/>
  <c r="S19" i="5"/>
  <c r="S35" i="5" s="1"/>
  <c r="E19" i="5"/>
  <c r="E35" i="5" s="1"/>
  <c r="I18" i="5"/>
  <c r="I34" i="5" s="1"/>
  <c r="O17" i="5"/>
  <c r="O33" i="5" s="1"/>
  <c r="Q19" i="5"/>
  <c r="Q35" i="5" s="1"/>
  <c r="T24" i="5"/>
  <c r="T40" i="5" s="1"/>
  <c r="P19" i="5"/>
  <c r="P35" i="5" s="1"/>
  <c r="L26" i="5"/>
  <c r="L42" i="5" s="1"/>
  <c r="R25" i="5"/>
  <c r="R41" i="5" s="1"/>
  <c r="V24" i="5"/>
  <c r="V40" i="5" s="1"/>
  <c r="H24" i="5"/>
  <c r="H40" i="5" s="1"/>
  <c r="L23" i="5"/>
  <c r="L39" i="5" s="1"/>
  <c r="R22" i="5"/>
  <c r="R38" i="5" s="1"/>
  <c r="V21" i="5"/>
  <c r="V37" i="5" s="1"/>
  <c r="H21" i="5"/>
  <c r="H37" i="5" s="1"/>
  <c r="L20" i="5"/>
  <c r="L36" i="5" s="1"/>
  <c r="R19" i="5"/>
  <c r="R35" i="5" s="1"/>
  <c r="V18" i="5"/>
  <c r="V34" i="5" s="1"/>
  <c r="H18" i="5"/>
  <c r="H34" i="5" s="1"/>
  <c r="L17" i="5"/>
  <c r="L33" i="5" s="1"/>
  <c r="K26" i="5"/>
  <c r="K42" i="5" s="1"/>
  <c r="Q25" i="5"/>
  <c r="Q41" i="5" s="1"/>
  <c r="G24" i="5"/>
  <c r="G40" i="5" s="1"/>
  <c r="Q22" i="5"/>
  <c r="Q38" i="5" s="1"/>
  <c r="G21" i="5"/>
  <c r="G37" i="5" s="1"/>
  <c r="U18" i="5"/>
  <c r="U34" i="5" s="1"/>
  <c r="P25" i="5"/>
  <c r="P41" i="5" s="1"/>
  <c r="P22" i="5"/>
  <c r="P38" i="5" s="1"/>
  <c r="T18" i="5"/>
  <c r="T34" i="5" s="1"/>
  <c r="I26" i="5"/>
  <c r="I42" i="5" s="1"/>
  <c r="O25" i="5"/>
  <c r="O41" i="5" s="1"/>
  <c r="S24" i="5"/>
  <c r="S40" i="5" s="1"/>
  <c r="E24" i="5"/>
  <c r="E40" i="5" s="1"/>
  <c r="I23" i="5"/>
  <c r="I39" i="5" s="1"/>
  <c r="O22" i="5"/>
  <c r="O38" i="5" s="1"/>
  <c r="S21" i="5"/>
  <c r="S37" i="5" s="1"/>
  <c r="E21" i="5"/>
  <c r="E37" i="5" s="1"/>
  <c r="I20" i="5"/>
  <c r="I36" i="5" s="1"/>
  <c r="O19" i="5"/>
  <c r="O35" i="5" s="1"/>
  <c r="S18" i="5"/>
  <c r="S34" i="5" s="1"/>
  <c r="E18" i="5"/>
  <c r="E34" i="5" s="1"/>
  <c r="I17" i="5"/>
  <c r="I33" i="5" s="1"/>
  <c r="V26" i="5"/>
  <c r="V42" i="5" s="1"/>
  <c r="H26" i="5"/>
  <c r="H42" i="5" s="1"/>
  <c r="L25" i="5"/>
  <c r="L41" i="5" s="1"/>
  <c r="R24" i="5"/>
  <c r="R40" i="5" s="1"/>
  <c r="V23" i="5"/>
  <c r="V39" i="5" s="1"/>
  <c r="H23" i="5"/>
  <c r="H39" i="5" s="1"/>
  <c r="L22" i="5"/>
  <c r="L38" i="5" s="1"/>
  <c r="R21" i="5"/>
  <c r="R37" i="5" s="1"/>
  <c r="V20" i="5"/>
  <c r="V36" i="5" s="1"/>
  <c r="H20" i="5"/>
  <c r="H36" i="5" s="1"/>
  <c r="L19" i="5"/>
  <c r="L35" i="5" s="1"/>
  <c r="R18" i="5"/>
  <c r="R34" i="5" s="1"/>
  <c r="V17" i="5"/>
  <c r="V33" i="5" s="1"/>
  <c r="H17" i="5"/>
  <c r="H33" i="5" s="1"/>
  <c r="L16" i="5"/>
  <c r="L32" i="5" s="1"/>
  <c r="U26" i="5"/>
  <c r="U42" i="5" s="1"/>
  <c r="G26" i="5"/>
  <c r="G42" i="5" s="1"/>
  <c r="K25" i="5"/>
  <c r="K41" i="5" s="1"/>
  <c r="Q24" i="5"/>
  <c r="Q40" i="5" s="1"/>
  <c r="U23" i="5"/>
  <c r="U39" i="5" s="1"/>
  <c r="G23" i="5"/>
  <c r="G39" i="5" s="1"/>
  <c r="K22" i="5"/>
  <c r="K38" i="5" s="1"/>
  <c r="Q21" i="5"/>
  <c r="Q37" i="5" s="1"/>
  <c r="U20" i="5"/>
  <c r="U36" i="5" s="1"/>
  <c r="G20" i="5"/>
  <c r="G36" i="5" s="1"/>
  <c r="K19" i="5"/>
  <c r="K35" i="5" s="1"/>
  <c r="Q18" i="5"/>
  <c r="Q34" i="5" s="1"/>
  <c r="U17" i="5"/>
  <c r="U33" i="5" s="1"/>
  <c r="G17" i="5"/>
  <c r="G33" i="5" s="1"/>
  <c r="J23" i="5"/>
  <c r="J39" i="5" s="1"/>
  <c r="O32" i="5"/>
  <c r="Q16" i="5"/>
  <c r="Q32" i="5" s="1"/>
  <c r="K16" i="5"/>
  <c r="K32" i="5" s="1"/>
  <c r="R16" i="5"/>
  <c r="R32" i="5" s="1"/>
  <c r="E32" i="5"/>
  <c r="S16" i="5"/>
  <c r="S32" i="5" s="1"/>
  <c r="H16" i="5"/>
  <c r="H32" i="5" s="1"/>
  <c r="V16" i="5"/>
  <c r="V32" i="5" s="1"/>
  <c r="I16" i="5"/>
  <c r="I32" i="5" s="1"/>
  <c r="J16" i="5"/>
  <c r="J32" i="5" s="1"/>
  <c r="S3" i="2"/>
  <c r="S16" i="2" s="1"/>
  <c r="S32" i="2" s="1"/>
  <c r="E3" i="2"/>
  <c r="E16" i="2" s="1"/>
  <c r="E32" i="2" s="1"/>
  <c r="T3" i="2"/>
  <c r="T16" i="2" s="1"/>
  <c r="T32" i="2" s="1"/>
  <c r="E17" i="2"/>
  <c r="E33" i="2" s="1"/>
  <c r="H26" i="2"/>
  <c r="H42" i="2" s="1"/>
  <c r="L24" i="2"/>
  <c r="L40" i="2" s="1"/>
  <c r="H23" i="2"/>
  <c r="H39" i="2" s="1"/>
  <c r="L21" i="2"/>
  <c r="L37" i="2" s="1"/>
  <c r="H20" i="2"/>
  <c r="H36" i="2" s="1"/>
  <c r="L18" i="2"/>
  <c r="L34" i="2" s="1"/>
  <c r="K3" i="2"/>
  <c r="K16" i="2" s="1"/>
  <c r="K32" i="2" s="1"/>
  <c r="U3" i="2"/>
  <c r="U16" i="2" s="1"/>
  <c r="U32" i="2" s="1"/>
  <c r="F17" i="2"/>
  <c r="F33" i="2" s="1"/>
  <c r="G26" i="2"/>
  <c r="G42" i="2" s="1"/>
  <c r="K24" i="2"/>
  <c r="K40" i="2" s="1"/>
  <c r="G23" i="2"/>
  <c r="G39" i="2" s="1"/>
  <c r="K21" i="2"/>
  <c r="K37" i="2" s="1"/>
  <c r="G20" i="2"/>
  <c r="G36" i="2" s="1"/>
  <c r="K18" i="2"/>
  <c r="K34" i="2" s="1"/>
  <c r="I20" i="2"/>
  <c r="I36" i="2" s="1"/>
  <c r="J3" i="2"/>
  <c r="J16" i="2" s="1"/>
  <c r="J32" i="2" s="1"/>
  <c r="V3" i="2"/>
  <c r="V16" i="2" s="1"/>
  <c r="V32" i="2" s="1"/>
  <c r="G17" i="2"/>
  <c r="G33" i="2" s="1"/>
  <c r="F26" i="2"/>
  <c r="F42" i="2" s="1"/>
  <c r="J24" i="2"/>
  <c r="J40" i="2" s="1"/>
  <c r="F23" i="2"/>
  <c r="F39" i="2" s="1"/>
  <c r="J21" i="2"/>
  <c r="J37" i="2" s="1"/>
  <c r="F20" i="2"/>
  <c r="F36" i="2" s="1"/>
  <c r="J18" i="2"/>
  <c r="J34" i="2" s="1"/>
  <c r="I3" i="2"/>
  <c r="I16" i="2" s="1"/>
  <c r="I32" i="2" s="1"/>
  <c r="O3" i="2"/>
  <c r="O16" i="2" s="1"/>
  <c r="O32" i="2" s="1"/>
  <c r="H17" i="2"/>
  <c r="H33" i="2" s="1"/>
  <c r="E26" i="2"/>
  <c r="E42" i="2" s="1"/>
  <c r="I24" i="2"/>
  <c r="I40" i="2" s="1"/>
  <c r="E23" i="2"/>
  <c r="E39" i="2" s="1"/>
  <c r="I21" i="2"/>
  <c r="I37" i="2" s="1"/>
  <c r="E20" i="2"/>
  <c r="E36" i="2" s="1"/>
  <c r="I18" i="2"/>
  <c r="I34" i="2" s="1"/>
  <c r="R3" i="2"/>
  <c r="R16" i="2" s="1"/>
  <c r="R32" i="2" s="1"/>
  <c r="E19" i="2"/>
  <c r="E35" i="2" s="1"/>
  <c r="H3" i="2"/>
  <c r="H16" i="2" s="1"/>
  <c r="H32" i="2" s="1"/>
  <c r="I17" i="2"/>
  <c r="I33" i="2" s="1"/>
  <c r="L25" i="2"/>
  <c r="L41" i="2" s="1"/>
  <c r="H24" i="2"/>
  <c r="H40" i="2" s="1"/>
  <c r="L22" i="2"/>
  <c r="L38" i="2" s="1"/>
  <c r="H21" i="2"/>
  <c r="H37" i="2" s="1"/>
  <c r="L19" i="2"/>
  <c r="L35" i="2" s="1"/>
  <c r="H18" i="2"/>
  <c r="H34" i="2" s="1"/>
  <c r="G3" i="2"/>
  <c r="G16" i="2" s="1"/>
  <c r="G32" i="2" s="1"/>
  <c r="J17" i="2"/>
  <c r="J33" i="2" s="1"/>
  <c r="K25" i="2"/>
  <c r="K41" i="2" s="1"/>
  <c r="G24" i="2"/>
  <c r="G40" i="2" s="1"/>
  <c r="K22" i="2"/>
  <c r="K38" i="2" s="1"/>
  <c r="G21" i="2"/>
  <c r="G37" i="2" s="1"/>
  <c r="K19" i="2"/>
  <c r="K35" i="2" s="1"/>
  <c r="G18" i="2"/>
  <c r="G34" i="2" s="1"/>
  <c r="I23" i="2"/>
  <c r="I39" i="2" s="1"/>
  <c r="F3" i="2"/>
  <c r="F16" i="2" s="1"/>
  <c r="F32" i="2" s="1"/>
  <c r="K17" i="2"/>
  <c r="K33" i="2" s="1"/>
  <c r="J25" i="2"/>
  <c r="J41" i="2" s="1"/>
  <c r="F24" i="2"/>
  <c r="F40" i="2" s="1"/>
  <c r="J22" i="2"/>
  <c r="J38" i="2" s="1"/>
  <c r="F21" i="2"/>
  <c r="F37" i="2" s="1"/>
  <c r="J19" i="2"/>
  <c r="J35" i="2" s="1"/>
  <c r="F18" i="2"/>
  <c r="F34" i="2" s="1"/>
  <c r="E25" i="2"/>
  <c r="E41" i="2" s="1"/>
  <c r="L17" i="2"/>
  <c r="L33" i="2" s="1"/>
  <c r="I25" i="2"/>
  <c r="I41" i="2" s="1"/>
  <c r="E24" i="2"/>
  <c r="E40" i="2" s="1"/>
  <c r="I22" i="2"/>
  <c r="I38" i="2" s="1"/>
  <c r="E21" i="2"/>
  <c r="E37" i="2" s="1"/>
  <c r="I19" i="2"/>
  <c r="I35" i="2" s="1"/>
</calcChain>
</file>

<file path=xl/sharedStrings.xml><?xml version="1.0" encoding="utf-8"?>
<sst xmlns="http://schemas.openxmlformats.org/spreadsheetml/2006/main" count="73" uniqueCount="27">
  <si>
    <t>Tech type</t>
  </si>
  <si>
    <t>Component</t>
  </si>
  <si>
    <t>Manufacturing Cost</t>
  </si>
  <si>
    <t>Lifetime (year)</t>
  </si>
  <si>
    <t>PV</t>
  </si>
  <si>
    <t>PV panel</t>
  </si>
  <si>
    <t>Nozzle</t>
  </si>
  <si>
    <r>
      <t>Unit price per m</t>
    </r>
    <r>
      <rPr>
        <vertAlign val="superscript"/>
        <sz val="11"/>
        <color theme="1"/>
        <rFont val="Times New Roman"/>
        <family val="1"/>
      </rPr>
      <t>2</t>
    </r>
    <phoneticPr fontId="3" type="noConversion"/>
  </si>
  <si>
    <t>Tube plate PV/T</t>
    <phoneticPr fontId="3" type="noConversion"/>
  </si>
  <si>
    <t>Flat plate PV/T</t>
    <phoneticPr fontId="3" type="noConversion"/>
  </si>
  <si>
    <t>Glass</t>
    <phoneticPr fontId="3" type="noConversion"/>
  </si>
  <si>
    <t>Copper plate</t>
    <phoneticPr fontId="3" type="noConversion"/>
  </si>
  <si>
    <t>PV panel</t>
    <phoneticPr fontId="3" type="noConversion"/>
  </si>
  <si>
    <t>Discount Ratio</t>
    <phoneticPr fontId="3" type="noConversion"/>
  </si>
  <si>
    <t>Spray cooling PV/T</t>
    <phoneticPr fontId="3" type="noConversion"/>
  </si>
  <si>
    <t>Only consider electricity</t>
    <phoneticPr fontId="3" type="noConversion"/>
  </si>
  <si>
    <t>Include thermal power (treat as equal to pv power)</t>
    <phoneticPr fontId="3" type="noConversion"/>
  </si>
  <si>
    <t>PVIFA</t>
    <phoneticPr fontId="3" type="noConversion"/>
  </si>
  <si>
    <t>Initial Investment</t>
    <phoneticPr fontId="3" type="noConversion"/>
  </si>
  <si>
    <t>PV</t>
    <phoneticPr fontId="3" type="noConversion"/>
  </si>
  <si>
    <t>O&amp;M Ratio</t>
  </si>
  <si>
    <t>O&amp;M Ratio</t>
    <phoneticPr fontId="3" type="noConversion"/>
  </si>
  <si>
    <t>Output Power Improvement Ratio</t>
    <phoneticPr fontId="3" type="noConversion"/>
  </si>
  <si>
    <t>PV Total Lifetime Cost</t>
    <phoneticPr fontId="3" type="noConversion"/>
  </si>
  <si>
    <t>Value</t>
    <phoneticPr fontId="3" type="noConversion"/>
  </si>
  <si>
    <t>Choosed Value</t>
    <phoneticPr fontId="3" type="noConversion"/>
  </si>
  <si>
    <t>PVIFA1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</si>
</sst>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B1" zoomScale="110" zoomScaleNormal="110" workbookViewId="0">
      <selection activeCell="C32" sqref="C32"/>
    </sheetView>
  </sheetViews>
  <sheetFormatPr defaultRowHeight="13.8" x14ac:dyDescent="0.25"/>
  <cols>
    <col min="1" max="1" width="28.33203125" style="8" customWidth="1"/>
    <col min="2" max="2" width="23.6640625" style="8" customWidth="1"/>
    <col min="3" max="3" width="27.44140625" style="8" customWidth="1"/>
    <col min="4" max="4" width="31.6640625" style="8" customWidth="1"/>
    <col min="5" max="5" width="28.6640625" style="8" customWidth="1"/>
    <col min="6" max="6" width="22.21875" style="8" customWidth="1"/>
    <col min="7" max="7" width="22" style="8" customWidth="1"/>
    <col min="8" max="8" width="20.88671875" style="8" customWidth="1"/>
    <col min="9" max="9" width="12" style="8" customWidth="1"/>
    <col min="10" max="16384" width="8.88671875" style="8"/>
  </cols>
  <sheetData>
    <row r="1" spans="1:8" ht="24" customHeight="1" thickTop="1" x14ac:dyDescent="0.25">
      <c r="A1" s="28" t="s">
        <v>0</v>
      </c>
      <c r="B1" s="29" t="s">
        <v>1</v>
      </c>
      <c r="C1" s="27" t="s">
        <v>7</v>
      </c>
      <c r="D1" s="27" t="s">
        <v>3</v>
      </c>
      <c r="E1" s="27" t="s">
        <v>2</v>
      </c>
    </row>
    <row r="2" spans="1:8" ht="14.4" thickBot="1" x14ac:dyDescent="0.3">
      <c r="A2" s="22"/>
      <c r="B2" s="30"/>
      <c r="C2" s="24"/>
      <c r="D2" s="24"/>
      <c r="E2" s="24"/>
    </row>
    <row r="3" spans="1:8" ht="14.4" thickBot="1" x14ac:dyDescent="0.3">
      <c r="A3" s="5" t="s">
        <v>4</v>
      </c>
      <c r="B3" s="4" t="s">
        <v>12</v>
      </c>
      <c r="C3" s="5">
        <v>68.94</v>
      </c>
      <c r="D3" s="5">
        <v>12</v>
      </c>
      <c r="E3" s="5">
        <v>0</v>
      </c>
      <c r="H3" s="7"/>
    </row>
    <row r="4" spans="1:8" x14ac:dyDescent="0.25">
      <c r="A4" s="21" t="s">
        <v>14</v>
      </c>
      <c r="B4" s="2" t="s">
        <v>5</v>
      </c>
      <c r="C4" s="1">
        <v>68.94</v>
      </c>
      <c r="D4" s="1">
        <v>12</v>
      </c>
      <c r="E4" s="23">
        <v>1.8180000000000001</v>
      </c>
    </row>
    <row r="5" spans="1:8" ht="14.4" thickBot="1" x14ac:dyDescent="0.3">
      <c r="A5" s="22"/>
      <c r="B5" s="4" t="s">
        <v>6</v>
      </c>
      <c r="C5" s="5">
        <v>0.34899999999999998</v>
      </c>
      <c r="D5" s="5">
        <v>1</v>
      </c>
      <c r="E5" s="24"/>
    </row>
    <row r="6" spans="1:8" x14ac:dyDescent="0.25">
      <c r="A6" s="21" t="s">
        <v>8</v>
      </c>
      <c r="B6" s="2" t="s">
        <v>5</v>
      </c>
      <c r="C6" s="1">
        <v>68.94</v>
      </c>
      <c r="D6" s="1">
        <v>12</v>
      </c>
      <c r="E6" s="23">
        <v>2.0499999999999998</v>
      </c>
    </row>
    <row r="7" spans="1:8" ht="14.4" thickBot="1" x14ac:dyDescent="0.3">
      <c r="A7" s="22"/>
      <c r="B7" s="4" t="s">
        <v>11</v>
      </c>
      <c r="C7" s="5">
        <v>8.92</v>
      </c>
      <c r="D7" s="5">
        <v>12</v>
      </c>
      <c r="E7" s="24"/>
    </row>
    <row r="8" spans="1:8" x14ac:dyDescent="0.25">
      <c r="A8" s="21" t="s">
        <v>9</v>
      </c>
      <c r="B8" s="2" t="s">
        <v>5</v>
      </c>
      <c r="C8" s="1">
        <v>68.94</v>
      </c>
      <c r="D8" s="1">
        <v>12</v>
      </c>
      <c r="E8" s="23">
        <v>3.13</v>
      </c>
    </row>
    <row r="9" spans="1:8" ht="14.4" thickBot="1" x14ac:dyDescent="0.3">
      <c r="A9" s="25"/>
      <c r="B9" s="3" t="s">
        <v>10</v>
      </c>
      <c r="C9" s="6">
        <v>2.66</v>
      </c>
      <c r="D9" s="6">
        <v>12</v>
      </c>
      <c r="E9" s="26"/>
    </row>
    <row r="10" spans="1:8" ht="14.4" thickTop="1" x14ac:dyDescent="0.25"/>
    <row r="12" spans="1:8" x14ac:dyDescent="0.25">
      <c r="A12" s="12" t="s">
        <v>13</v>
      </c>
      <c r="B12" s="12" t="s">
        <v>17</v>
      </c>
      <c r="C12" s="12" t="s">
        <v>26</v>
      </c>
      <c r="D12" s="12"/>
    </row>
    <row r="13" spans="1:8" x14ac:dyDescent="0.25">
      <c r="A13" s="8">
        <v>8</v>
      </c>
      <c r="B13" s="8">
        <f>7.5361</f>
        <v>7.5361000000000002</v>
      </c>
      <c r="C13" s="8">
        <f>B13*(1+A13/100)</f>
        <v>8.1389880000000012</v>
      </c>
      <c r="D13" s="9">
        <f>C13*$C$5</f>
        <v>2.8405068120000001</v>
      </c>
    </row>
    <row r="14" spans="1:8" x14ac:dyDescent="0.25">
      <c r="A14" s="8">
        <v>7</v>
      </c>
      <c r="B14" s="8">
        <f>7.9427</f>
        <v>7.9427000000000003</v>
      </c>
      <c r="C14" s="9">
        <f t="shared" ref="C14:C21" si="0">B14*(1+A14/100)</f>
        <v>8.4986890000000006</v>
      </c>
      <c r="D14" s="9">
        <f t="shared" ref="D14:D21" si="1">C14*$C$5</f>
        <v>2.9660424609999998</v>
      </c>
    </row>
    <row r="15" spans="1:8" x14ac:dyDescent="0.25">
      <c r="A15" s="8">
        <v>6</v>
      </c>
      <c r="B15" s="8">
        <f>8.3838</f>
        <v>8.3838000000000008</v>
      </c>
      <c r="C15" s="9">
        <f t="shared" si="0"/>
        <v>8.8868280000000013</v>
      </c>
      <c r="D15" s="9">
        <f t="shared" si="1"/>
        <v>3.101502972</v>
      </c>
    </row>
    <row r="16" spans="1:8" x14ac:dyDescent="0.25">
      <c r="A16" s="8">
        <v>5</v>
      </c>
      <c r="B16" s="8">
        <f>8.8633</f>
        <v>8.8633000000000006</v>
      </c>
      <c r="C16" s="9">
        <f t="shared" si="0"/>
        <v>9.3064650000000011</v>
      </c>
      <c r="D16" s="9">
        <f t="shared" si="1"/>
        <v>3.2479562850000003</v>
      </c>
    </row>
    <row r="17" spans="1:8" x14ac:dyDescent="0.25">
      <c r="A17" s="8">
        <v>4</v>
      </c>
      <c r="B17" s="8">
        <f>9.3851</f>
        <v>9.3850999999999996</v>
      </c>
      <c r="C17" s="9">
        <f t="shared" si="0"/>
        <v>9.7605039999999992</v>
      </c>
      <c r="D17" s="9">
        <f t="shared" si="1"/>
        <v>3.4064158959999995</v>
      </c>
    </row>
    <row r="18" spans="1:8" x14ac:dyDescent="0.25">
      <c r="A18" s="8">
        <v>3</v>
      </c>
      <c r="B18" s="8">
        <f>9.954</f>
        <v>9.9540000000000006</v>
      </c>
      <c r="C18" s="9">
        <f t="shared" si="0"/>
        <v>10.25262</v>
      </c>
      <c r="D18" s="9">
        <f t="shared" si="1"/>
        <v>3.57816438</v>
      </c>
    </row>
    <row r="19" spans="1:8" x14ac:dyDescent="0.25">
      <c r="A19" s="8">
        <v>2</v>
      </c>
      <c r="B19" s="8">
        <f>10.5753</f>
        <v>10.5753</v>
      </c>
      <c r="C19" s="9">
        <f t="shared" si="0"/>
        <v>10.786806</v>
      </c>
      <c r="D19" s="9">
        <f t="shared" si="1"/>
        <v>3.7645952939999998</v>
      </c>
    </row>
    <row r="20" spans="1:8" x14ac:dyDescent="0.25">
      <c r="A20" s="8">
        <v>1</v>
      </c>
      <c r="B20" s="8">
        <f>11.2551</f>
        <v>11.255100000000001</v>
      </c>
      <c r="C20" s="9">
        <f t="shared" si="0"/>
        <v>11.367651</v>
      </c>
      <c r="D20" s="9">
        <f t="shared" si="1"/>
        <v>3.9673101989999999</v>
      </c>
    </row>
    <row r="21" spans="1:8" x14ac:dyDescent="0.25">
      <c r="A21" s="8">
        <v>0</v>
      </c>
      <c r="B21" s="8">
        <f>12</f>
        <v>12</v>
      </c>
      <c r="C21" s="9">
        <f t="shared" si="0"/>
        <v>12</v>
      </c>
      <c r="D21" s="9">
        <f t="shared" si="1"/>
        <v>4.1879999999999997</v>
      </c>
    </row>
    <row r="23" spans="1:8" x14ac:dyDescent="0.25">
      <c r="A23" s="20" t="s">
        <v>18</v>
      </c>
      <c r="B23" s="20"/>
      <c r="C23" s="20"/>
      <c r="D23" s="20"/>
      <c r="E23" s="20"/>
      <c r="F23" s="20"/>
      <c r="G23" s="20"/>
      <c r="H23" s="20"/>
    </row>
    <row r="24" spans="1:8" x14ac:dyDescent="0.25">
      <c r="A24" s="8" t="s">
        <v>19</v>
      </c>
      <c r="B24" s="8">
        <f>C3</f>
        <v>68.94</v>
      </c>
      <c r="C24" s="8" t="s">
        <v>14</v>
      </c>
      <c r="D24" s="8">
        <f>$C$4+D13+$E$4</f>
        <v>73.598506811999997</v>
      </c>
      <c r="E24" s="9" t="s">
        <v>8</v>
      </c>
      <c r="F24" s="8">
        <f>C6+C7+E6</f>
        <v>79.91</v>
      </c>
      <c r="G24" s="8" t="s">
        <v>9</v>
      </c>
      <c r="H24" s="8">
        <f>C8+C9+E8</f>
        <v>74.72999999999999</v>
      </c>
    </row>
    <row r="25" spans="1:8" x14ac:dyDescent="0.25">
      <c r="D25" s="9">
        <f t="shared" ref="D25:D32" si="2">$C$4+D14+$E$4</f>
        <v>73.724042460999996</v>
      </c>
      <c r="E25" s="9"/>
    </row>
    <row r="26" spans="1:8" x14ac:dyDescent="0.25">
      <c r="D26" s="9">
        <f t="shared" si="2"/>
        <v>73.859502972000001</v>
      </c>
      <c r="E26" s="9"/>
    </row>
    <row r="27" spans="1:8" x14ac:dyDescent="0.25">
      <c r="A27" s="9"/>
      <c r="D27" s="9">
        <f t="shared" si="2"/>
        <v>74.005956284999996</v>
      </c>
      <c r="E27" s="9"/>
    </row>
    <row r="28" spans="1:8" x14ac:dyDescent="0.25">
      <c r="D28" s="9">
        <f t="shared" si="2"/>
        <v>74.164415895999994</v>
      </c>
      <c r="E28" s="9"/>
    </row>
    <row r="29" spans="1:8" x14ac:dyDescent="0.25">
      <c r="D29" s="9">
        <f t="shared" si="2"/>
        <v>74.33616438</v>
      </c>
      <c r="E29" s="9"/>
    </row>
    <row r="30" spans="1:8" x14ac:dyDescent="0.25">
      <c r="D30" s="9">
        <f t="shared" si="2"/>
        <v>74.522595293999998</v>
      </c>
      <c r="E30" s="9"/>
    </row>
    <row r="31" spans="1:8" x14ac:dyDescent="0.25">
      <c r="D31" s="9">
        <f t="shared" si="2"/>
        <v>74.725310198999992</v>
      </c>
      <c r="E31" s="9"/>
    </row>
    <row r="32" spans="1:8" x14ac:dyDescent="0.25">
      <c r="D32" s="9">
        <f t="shared" si="2"/>
        <v>74.945999999999998</v>
      </c>
      <c r="E32" s="9"/>
    </row>
    <row r="33" spans="4:4" x14ac:dyDescent="0.25">
      <c r="D33" s="9"/>
    </row>
    <row r="34" spans="4:4" x14ac:dyDescent="0.25">
      <c r="D34" s="9"/>
    </row>
    <row r="35" spans="4:4" x14ac:dyDescent="0.25">
      <c r="D35" s="9"/>
    </row>
  </sheetData>
  <mergeCells count="12">
    <mergeCell ref="A4:A5"/>
    <mergeCell ref="E4:E5"/>
    <mergeCell ref="C1:C2"/>
    <mergeCell ref="D1:D2"/>
    <mergeCell ref="A1:A2"/>
    <mergeCell ref="B1:B2"/>
    <mergeCell ref="E1:E2"/>
    <mergeCell ref="A23:H23"/>
    <mergeCell ref="A6:A7"/>
    <mergeCell ref="E6:E7"/>
    <mergeCell ref="A8:A9"/>
    <mergeCell ref="E8:E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85BD-E87B-444E-92A9-E782717FBE62}">
  <dimension ref="A1:V42"/>
  <sheetViews>
    <sheetView topLeftCell="I1" zoomScale="80" zoomScaleNormal="80" workbookViewId="0">
      <selection activeCell="O32" sqref="O32:V42"/>
    </sheetView>
  </sheetViews>
  <sheetFormatPr defaultRowHeight="13.8" x14ac:dyDescent="0.25"/>
  <cols>
    <col min="1" max="1" width="15.21875" style="13" customWidth="1"/>
    <col min="2" max="2" width="15.33203125" style="13" customWidth="1"/>
    <col min="3" max="16384" width="8.88671875" style="13"/>
  </cols>
  <sheetData>
    <row r="1" spans="1:22" x14ac:dyDescent="0.25">
      <c r="A1" s="32" t="s">
        <v>23</v>
      </c>
      <c r="B1" s="32"/>
      <c r="C1" s="17"/>
      <c r="D1" s="32" t="s">
        <v>14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x14ac:dyDescent="0.25">
      <c r="A2" s="12" t="s">
        <v>13</v>
      </c>
      <c r="B2" s="18" t="s">
        <v>24</v>
      </c>
      <c r="C2" s="9"/>
      <c r="D2" s="9"/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O2" s="9">
        <v>3</v>
      </c>
      <c r="P2" s="9">
        <v>4</v>
      </c>
      <c r="Q2" s="9">
        <v>5</v>
      </c>
      <c r="R2" s="9">
        <v>6</v>
      </c>
      <c r="S2" s="9">
        <v>7</v>
      </c>
      <c r="T2" s="9">
        <v>8</v>
      </c>
      <c r="U2" s="9">
        <v>9</v>
      </c>
      <c r="V2" s="9">
        <v>10</v>
      </c>
    </row>
    <row r="3" spans="1:22" x14ac:dyDescent="0.25">
      <c r="A3" s="9">
        <v>8</v>
      </c>
      <c r="B3" s="9">
        <f>Data!$B$24+Data!$B$24*0.03*Data!B13</f>
        <v>84.526162020000001</v>
      </c>
      <c r="C3" s="9"/>
      <c r="D3" s="9">
        <v>0</v>
      </c>
      <c r="E3" s="9">
        <f>(Data!$C$4+Data!$E$4+Data!$C$5*$A$40)+(Data!$C$4+Data!$E$4+Data!$C$5*$A$40)*E2/100*$A$27</f>
        <v>99.956535363622947</v>
      </c>
      <c r="F3" s="9">
        <f>(Data!$C$4+Data!$E$4+Data!$C$5*$A$40)+(Data!$C$4+Data!$E$4+Data!$C$5*$A$40)*F2/100*$A$27</f>
        <v>108.36694375183059</v>
      </c>
      <c r="G3" s="9">
        <f>(Data!$C$4+Data!$E$4+Data!$C$5*$A$40)+(Data!$C$4+Data!$E$4+Data!$C$5*$A$40)*G2/100*$A$27</f>
        <v>116.77735214003823</v>
      </c>
      <c r="H3" s="9">
        <f>(Data!$C$4+Data!$E$4+Data!$C$5*$A$40)+(Data!$C$4+Data!$E$4+Data!$C$5*$A$40)*H2/100*$A$27</f>
        <v>125.18776052824589</v>
      </c>
      <c r="I3" s="9">
        <f>(Data!$C$4+Data!$E$4+Data!$C$5*$A$40)+(Data!$C$4+Data!$E$4+Data!$C$5*$A$40)*I2/100*$A$27</f>
        <v>133.59816891645352</v>
      </c>
      <c r="J3" s="9">
        <f>(Data!$C$4+Data!$E$4+Data!$C$5*$A$40)+(Data!$C$4+Data!$E$4+Data!$C$5*$A$40)*J2/100*$A$27</f>
        <v>142.00857730466117</v>
      </c>
      <c r="K3" s="9">
        <f>(Data!$C$4+Data!$E$4+Data!$C$5*$A$40)+(Data!$C$4+Data!$E$4+Data!$C$5*$A$40)*K2/100*$A$27</f>
        <v>150.41898569286883</v>
      </c>
      <c r="L3" s="9">
        <f>(Data!$C$4+Data!$E$4+Data!$C$5*$A$40)+(Data!$C$4+Data!$E$4+Data!$C$5*$A$40)*L2/100*$A$27</f>
        <v>158.82939408107649</v>
      </c>
      <c r="N3" s="9">
        <v>0</v>
      </c>
      <c r="O3" s="9">
        <f>(Data!$C$4+Data!$E$4+Data!$C$5*$A$40)+(Data!$C$4+Data!$E$4+Data!$C$5*$A$40)*O2/100*$A$27</f>
        <v>99.956535363622947</v>
      </c>
      <c r="P3" s="9">
        <f>(Data!$C$4+Data!$E$4+Data!$C$5*$A$40)+(Data!$C$4+Data!$E$4+Data!$C$5*$A$40)*P2/100*$A$27</f>
        <v>108.36694375183059</v>
      </c>
      <c r="Q3" s="9">
        <f>(Data!$C$4+Data!$E$4+Data!$C$5*$A$40)+(Data!$C$4+Data!$E$4+Data!$C$5*$A$40)*Q2/100*$A$27</f>
        <v>116.77735214003823</v>
      </c>
      <c r="R3" s="9">
        <f>(Data!$C$4+Data!$E$4+Data!$C$5*$A$40)+(Data!$C$4+Data!$E$4+Data!$C$5*$A$40)*R2/100*$A$27</f>
        <v>125.18776052824589</v>
      </c>
      <c r="S3" s="9">
        <f>(Data!$C$4+Data!$E$4+Data!$C$5*$A$40)+(Data!$C$4+Data!$E$4+Data!$C$5*$A$40)*S2/100*$A$27</f>
        <v>133.59816891645352</v>
      </c>
      <c r="T3" s="9">
        <f>(Data!$C$4+Data!$E$4+Data!$C$5*$A$40)+(Data!$C$4+Data!$E$4+Data!$C$5*$A$40)*T2/100*$A$27</f>
        <v>142.00857730466117</v>
      </c>
      <c r="U3" s="9">
        <f>(Data!$C$4+Data!$E$4+Data!$C$5*$A$40)+(Data!$C$4+Data!$E$4+Data!$C$5*$A$40)*U2/100*$A$27</f>
        <v>150.41898569286883</v>
      </c>
      <c r="V3" s="9">
        <f>(Data!$C$4+Data!$E$4+Data!$C$5*$A$40)+(Data!$C$4+Data!$E$4+Data!$C$5*$A$40)*V2/100*$A$27</f>
        <v>158.82939408107649</v>
      </c>
    </row>
    <row r="4" spans="1:22" x14ac:dyDescent="0.25">
      <c r="A4" s="9">
        <v>7</v>
      </c>
      <c r="B4" s="9">
        <f>Data!$B$24+Data!$B$24*0.03*Data!B14</f>
        <v>85.367092139999997</v>
      </c>
      <c r="C4" s="9"/>
      <c r="D4" s="9">
        <v>1</v>
      </c>
      <c r="E4" s="9">
        <v>90.237878027577395</v>
      </c>
      <c r="F4" s="9">
        <v>95.784335099436532</v>
      </c>
      <c r="G4" s="9">
        <v>101.33079217129566</v>
      </c>
      <c r="H4" s="9">
        <v>106.87724924315479</v>
      </c>
      <c r="I4" s="9">
        <v>112.42370631501393</v>
      </c>
      <c r="J4" s="9">
        <v>117.97016338687305</v>
      </c>
      <c r="K4" s="9">
        <v>123.51662045873218</v>
      </c>
      <c r="L4" s="9">
        <v>129.06307753059133</v>
      </c>
      <c r="N4" s="9">
        <v>1</v>
      </c>
      <c r="O4" s="9">
        <v>90.237878027577395</v>
      </c>
      <c r="P4" s="9">
        <v>95.784335099436532</v>
      </c>
      <c r="Q4" s="9">
        <v>101.33079217129566</v>
      </c>
      <c r="R4" s="9">
        <v>106.87724924315479</v>
      </c>
      <c r="S4" s="9">
        <v>112.42370631501393</v>
      </c>
      <c r="T4" s="9">
        <v>117.97016338687305</v>
      </c>
      <c r="U4" s="9">
        <v>123.51662045873218</v>
      </c>
      <c r="V4" s="9">
        <v>129.06307753059133</v>
      </c>
    </row>
    <row r="5" spans="1:22" x14ac:dyDescent="0.25">
      <c r="A5" s="9">
        <v>6</v>
      </c>
      <c r="B5" s="9">
        <f>Data!$B$24+Data!$B$24*0.03*Data!B15</f>
        <v>86.279375160000001</v>
      </c>
      <c r="C5" s="9"/>
      <c r="D5" s="9">
        <v>2</v>
      </c>
      <c r="E5" s="9">
        <v>90.237878027577395</v>
      </c>
      <c r="F5" s="9">
        <v>95.784335099436532</v>
      </c>
      <c r="G5" s="9">
        <v>101.33079217129566</v>
      </c>
      <c r="H5" s="9">
        <v>106.87724924315479</v>
      </c>
      <c r="I5" s="9">
        <v>112.42370631501393</v>
      </c>
      <c r="J5" s="9">
        <v>117.97016338687305</v>
      </c>
      <c r="K5" s="9">
        <v>123.51662045873218</v>
      </c>
      <c r="L5" s="9">
        <v>129.06307753059133</v>
      </c>
      <c r="N5" s="9">
        <v>2</v>
      </c>
      <c r="O5" s="9">
        <v>90.237878027577395</v>
      </c>
      <c r="P5" s="9">
        <v>95.784335099436532</v>
      </c>
      <c r="Q5" s="9">
        <v>101.33079217129566</v>
      </c>
      <c r="R5" s="9">
        <v>106.87724924315479</v>
      </c>
      <c r="S5" s="9">
        <v>112.42370631501393</v>
      </c>
      <c r="T5" s="9">
        <v>117.97016338687305</v>
      </c>
      <c r="U5" s="9">
        <v>123.51662045873218</v>
      </c>
      <c r="V5" s="9">
        <v>129.06307753059133</v>
      </c>
    </row>
    <row r="6" spans="1:22" x14ac:dyDescent="0.25">
      <c r="A6" s="9">
        <v>5</v>
      </c>
      <c r="B6" s="9">
        <f>Data!$B$24+Data!$B$24*0.03*Data!B16</f>
        <v>87.271077059999996</v>
      </c>
      <c r="C6" s="9"/>
      <c r="D6" s="9">
        <v>3</v>
      </c>
      <c r="E6" s="9">
        <v>90.237878027577395</v>
      </c>
      <c r="F6" s="9">
        <v>95.784335099436532</v>
      </c>
      <c r="G6" s="9">
        <v>101.33079217129566</v>
      </c>
      <c r="H6" s="9">
        <v>106.87724924315479</v>
      </c>
      <c r="I6" s="9">
        <v>112.42370631501393</v>
      </c>
      <c r="J6" s="9">
        <v>117.97016338687305</v>
      </c>
      <c r="K6" s="9">
        <v>123.51662045873218</v>
      </c>
      <c r="L6" s="9">
        <v>129.06307753059133</v>
      </c>
      <c r="N6" s="9">
        <v>3</v>
      </c>
      <c r="O6" s="9">
        <v>90.237878027577395</v>
      </c>
      <c r="P6" s="9">
        <v>95.784335099436532</v>
      </c>
      <c r="Q6" s="9">
        <v>101.33079217129566</v>
      </c>
      <c r="R6" s="9">
        <v>106.87724924315479</v>
      </c>
      <c r="S6" s="9">
        <v>112.42370631501393</v>
      </c>
      <c r="T6" s="9">
        <v>117.97016338687305</v>
      </c>
      <c r="U6" s="9">
        <v>123.51662045873218</v>
      </c>
      <c r="V6" s="9">
        <v>129.06307753059133</v>
      </c>
    </row>
    <row r="7" spans="1:22" x14ac:dyDescent="0.25">
      <c r="A7" s="9">
        <v>4</v>
      </c>
      <c r="B7" s="9">
        <f>Data!$B$24+Data!$B$24*0.03*Data!B17</f>
        <v>88.350263819999995</v>
      </c>
      <c r="C7" s="9"/>
      <c r="D7" s="9">
        <v>4</v>
      </c>
      <c r="E7" s="9">
        <v>90.237878027577395</v>
      </c>
      <c r="F7" s="9">
        <v>95.784335099436532</v>
      </c>
      <c r="G7" s="9">
        <v>101.33079217129566</v>
      </c>
      <c r="H7" s="9">
        <v>106.87724924315479</v>
      </c>
      <c r="I7" s="9">
        <v>112.42370631501393</v>
      </c>
      <c r="J7" s="9">
        <v>117.97016338687305</v>
      </c>
      <c r="K7" s="9">
        <v>123.51662045873218</v>
      </c>
      <c r="L7" s="9">
        <v>129.06307753059133</v>
      </c>
      <c r="N7" s="9">
        <v>4</v>
      </c>
      <c r="O7" s="9">
        <v>90.237878027577395</v>
      </c>
      <c r="P7" s="9">
        <v>95.784335099436532</v>
      </c>
      <c r="Q7" s="9">
        <v>101.33079217129566</v>
      </c>
      <c r="R7" s="9">
        <v>106.87724924315479</v>
      </c>
      <c r="S7" s="9">
        <v>112.42370631501393</v>
      </c>
      <c r="T7" s="9">
        <v>117.97016338687305</v>
      </c>
      <c r="U7" s="9">
        <v>123.51662045873218</v>
      </c>
      <c r="V7" s="9">
        <v>129.06307753059133</v>
      </c>
    </row>
    <row r="8" spans="1:22" x14ac:dyDescent="0.25">
      <c r="A8" s="9">
        <v>3</v>
      </c>
      <c r="B8" s="9">
        <f>Data!$B$24+Data!$B$24*0.03*Data!B18</f>
        <v>89.526862800000004</v>
      </c>
      <c r="C8" s="9"/>
      <c r="D8" s="9">
        <v>5</v>
      </c>
      <c r="E8" s="9">
        <v>90.237878027577395</v>
      </c>
      <c r="F8" s="9">
        <v>95.784335099436532</v>
      </c>
      <c r="G8" s="9">
        <v>101.33079217129566</v>
      </c>
      <c r="H8" s="9">
        <v>106.87724924315479</v>
      </c>
      <c r="I8" s="9">
        <v>112.42370631501393</v>
      </c>
      <c r="J8" s="9">
        <v>117.97016338687305</v>
      </c>
      <c r="K8" s="9">
        <v>123.51662045873218</v>
      </c>
      <c r="L8" s="9">
        <v>129.06307753059133</v>
      </c>
      <c r="N8" s="9">
        <v>5</v>
      </c>
      <c r="O8" s="9">
        <v>90.237878027577395</v>
      </c>
      <c r="P8" s="9">
        <v>95.784335099436532</v>
      </c>
      <c r="Q8" s="9">
        <v>101.33079217129566</v>
      </c>
      <c r="R8" s="9">
        <v>106.87724924315479</v>
      </c>
      <c r="S8" s="9">
        <v>112.42370631501393</v>
      </c>
      <c r="T8" s="9">
        <v>117.97016338687305</v>
      </c>
      <c r="U8" s="9">
        <v>123.51662045873218</v>
      </c>
      <c r="V8" s="9">
        <v>129.06307753059133</v>
      </c>
    </row>
    <row r="9" spans="1:22" x14ac:dyDescent="0.25">
      <c r="A9" s="9">
        <v>2</v>
      </c>
      <c r="B9" s="9">
        <f>Data!$B$24+Data!$B$24*0.03*Data!B19</f>
        <v>90.811835459999998</v>
      </c>
      <c r="C9" s="9"/>
      <c r="D9" s="9">
        <v>6</v>
      </c>
      <c r="E9" s="9">
        <v>90.237878027577395</v>
      </c>
      <c r="F9" s="9">
        <v>95.784335099436532</v>
      </c>
      <c r="G9" s="9">
        <v>101.33079217129566</v>
      </c>
      <c r="H9" s="9">
        <v>106.87724924315479</v>
      </c>
      <c r="I9" s="9">
        <v>112.42370631501393</v>
      </c>
      <c r="J9" s="9">
        <v>117.97016338687305</v>
      </c>
      <c r="K9" s="9">
        <v>123.51662045873218</v>
      </c>
      <c r="L9" s="9">
        <v>129.06307753059133</v>
      </c>
      <c r="N9" s="9">
        <v>6</v>
      </c>
      <c r="O9" s="9">
        <v>90.237878027577395</v>
      </c>
      <c r="P9" s="9">
        <v>95.784335099436532</v>
      </c>
      <c r="Q9" s="9">
        <v>101.33079217129566</v>
      </c>
      <c r="R9" s="9">
        <v>106.87724924315479</v>
      </c>
      <c r="S9" s="9">
        <v>112.42370631501393</v>
      </c>
      <c r="T9" s="9">
        <v>117.97016338687305</v>
      </c>
      <c r="U9" s="9">
        <v>123.51662045873218</v>
      </c>
      <c r="V9" s="9">
        <v>129.06307753059133</v>
      </c>
    </row>
    <row r="10" spans="1:22" x14ac:dyDescent="0.25">
      <c r="A10" s="9">
        <v>1</v>
      </c>
      <c r="B10" s="9">
        <f>Data!$B$24+Data!$B$24*0.03*Data!B20</f>
        <v>92.217797820000001</v>
      </c>
      <c r="C10" s="9"/>
      <c r="D10" s="9">
        <v>7</v>
      </c>
      <c r="E10" s="9">
        <v>90.237878027577395</v>
      </c>
      <c r="F10" s="9">
        <v>95.784335099436532</v>
      </c>
      <c r="G10" s="9">
        <v>101.33079217129566</v>
      </c>
      <c r="H10" s="9">
        <v>106.87724924315479</v>
      </c>
      <c r="I10" s="9">
        <v>112.42370631501393</v>
      </c>
      <c r="J10" s="9">
        <v>117.97016338687305</v>
      </c>
      <c r="K10" s="9">
        <v>123.51662045873218</v>
      </c>
      <c r="L10" s="9">
        <v>129.06307753059133</v>
      </c>
      <c r="N10" s="9">
        <v>7</v>
      </c>
      <c r="O10" s="9">
        <v>90.237878027577395</v>
      </c>
      <c r="P10" s="9">
        <v>95.784335099436532</v>
      </c>
      <c r="Q10" s="9">
        <v>101.33079217129566</v>
      </c>
      <c r="R10" s="9">
        <v>106.87724924315479</v>
      </c>
      <c r="S10" s="9">
        <v>112.42370631501393</v>
      </c>
      <c r="T10" s="9">
        <v>117.97016338687305</v>
      </c>
      <c r="U10" s="9">
        <v>123.51662045873218</v>
      </c>
      <c r="V10" s="9">
        <v>129.06307753059133</v>
      </c>
    </row>
    <row r="11" spans="1:22" x14ac:dyDescent="0.25">
      <c r="A11" s="9">
        <v>0</v>
      </c>
      <c r="B11" s="9">
        <f>Data!$B$24+Data!$B$24*0.03*Data!B21</f>
        <v>93.758399999999995</v>
      </c>
      <c r="C11" s="9"/>
      <c r="D11" s="9">
        <v>8</v>
      </c>
      <c r="E11" s="9">
        <v>90.237878027577395</v>
      </c>
      <c r="F11" s="9">
        <v>95.784335099436532</v>
      </c>
      <c r="G11" s="9">
        <v>101.33079217129566</v>
      </c>
      <c r="H11" s="9">
        <v>106.87724924315479</v>
      </c>
      <c r="I11" s="9">
        <v>112.42370631501393</v>
      </c>
      <c r="J11" s="9">
        <v>117.97016338687305</v>
      </c>
      <c r="K11" s="9">
        <v>123.51662045873218</v>
      </c>
      <c r="L11" s="9">
        <v>129.06307753059133</v>
      </c>
      <c r="N11" s="9">
        <v>8</v>
      </c>
      <c r="O11" s="9">
        <v>90.237878027577395</v>
      </c>
      <c r="P11" s="9">
        <v>95.784335099436532</v>
      </c>
      <c r="Q11" s="9">
        <v>101.33079217129566</v>
      </c>
      <c r="R11" s="9">
        <v>106.87724924315479</v>
      </c>
      <c r="S11" s="9">
        <v>112.42370631501393</v>
      </c>
      <c r="T11" s="9">
        <v>117.97016338687305</v>
      </c>
      <c r="U11" s="9">
        <v>123.51662045873218</v>
      </c>
      <c r="V11" s="9">
        <v>129.06307753059133</v>
      </c>
    </row>
    <row r="12" spans="1:22" x14ac:dyDescent="0.25">
      <c r="A12" s="31" t="s">
        <v>25</v>
      </c>
      <c r="B12" s="31"/>
      <c r="C12" s="9"/>
      <c r="D12" s="9">
        <v>9</v>
      </c>
      <c r="E12" s="9">
        <v>90.237878027577395</v>
      </c>
      <c r="F12" s="9">
        <v>95.784335099436532</v>
      </c>
      <c r="G12" s="9">
        <v>101.33079217129566</v>
      </c>
      <c r="H12" s="9">
        <v>106.87724924315479</v>
      </c>
      <c r="I12" s="9">
        <v>112.42370631501393</v>
      </c>
      <c r="J12" s="9">
        <v>117.97016338687305</v>
      </c>
      <c r="K12" s="9">
        <v>123.51662045873218</v>
      </c>
      <c r="L12" s="9">
        <v>129.06307753059133</v>
      </c>
      <c r="N12" s="9">
        <v>9</v>
      </c>
      <c r="O12" s="9">
        <v>90.237878027577395</v>
      </c>
      <c r="P12" s="9">
        <v>95.784335099436532</v>
      </c>
      <c r="Q12" s="9">
        <v>101.33079217129566</v>
      </c>
      <c r="R12" s="9">
        <v>106.87724924315479</v>
      </c>
      <c r="S12" s="9">
        <v>112.42370631501393</v>
      </c>
      <c r="T12" s="9">
        <v>117.97016338687305</v>
      </c>
      <c r="U12" s="9">
        <v>123.51662045873218</v>
      </c>
      <c r="V12" s="9">
        <v>129.06307753059133</v>
      </c>
    </row>
    <row r="13" spans="1:22" x14ac:dyDescent="0.25">
      <c r="A13" s="32">
        <v>92.217797820000001</v>
      </c>
      <c r="B13" s="32"/>
      <c r="C13" s="9"/>
      <c r="D13" s="9">
        <v>10</v>
      </c>
      <c r="E13" s="9">
        <v>90.237878027577395</v>
      </c>
      <c r="F13" s="9">
        <v>95.784335099436532</v>
      </c>
      <c r="G13" s="9">
        <v>101.33079217129566</v>
      </c>
      <c r="H13" s="9">
        <v>106.87724924315479</v>
      </c>
      <c r="I13" s="9">
        <v>112.42370631501393</v>
      </c>
      <c r="J13" s="9">
        <v>117.97016338687305</v>
      </c>
      <c r="K13" s="9">
        <v>123.51662045873218</v>
      </c>
      <c r="L13" s="9">
        <v>129.06307753059133</v>
      </c>
      <c r="N13" s="9">
        <v>10</v>
      </c>
      <c r="O13" s="9">
        <v>90.237878027577395</v>
      </c>
      <c r="P13" s="9">
        <v>95.784335099436532</v>
      </c>
      <c r="Q13" s="9">
        <v>101.33079217129566</v>
      </c>
      <c r="R13" s="9">
        <v>106.87724924315479</v>
      </c>
      <c r="S13" s="9">
        <v>112.42370631501393</v>
      </c>
      <c r="T13" s="9">
        <v>117.97016338687305</v>
      </c>
      <c r="U13" s="9">
        <v>123.51662045873218</v>
      </c>
      <c r="V13" s="9">
        <v>129.06307753059133</v>
      </c>
    </row>
    <row r="14" spans="1:22" x14ac:dyDescent="0.25">
      <c r="A14" s="19"/>
      <c r="B14" s="19"/>
    </row>
    <row r="15" spans="1:22" x14ac:dyDescent="0.25">
      <c r="A15" s="32" t="s">
        <v>17</v>
      </c>
      <c r="B15" s="32"/>
      <c r="C15" s="9"/>
      <c r="D15" s="9"/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O15" s="9">
        <v>3</v>
      </c>
      <c r="P15" s="9">
        <v>4</v>
      </c>
      <c r="Q15" s="9">
        <v>5</v>
      </c>
      <c r="R15" s="9">
        <v>6</v>
      </c>
      <c r="S15" s="9">
        <v>7</v>
      </c>
      <c r="T15" s="9">
        <v>8</v>
      </c>
      <c r="U15" s="9">
        <v>9</v>
      </c>
      <c r="V15" s="9">
        <v>10</v>
      </c>
    </row>
    <row r="16" spans="1:22" x14ac:dyDescent="0.25">
      <c r="A16" s="12" t="s">
        <v>13</v>
      </c>
      <c r="B16" s="18" t="s">
        <v>24</v>
      </c>
      <c r="D16" s="9">
        <v>0</v>
      </c>
      <c r="E16" s="13">
        <f t="shared" ref="E16:L16" si="0">E3/(1+$D$16/100)/$A$13</f>
        <v>1.0839180475630983</v>
      </c>
      <c r="F16" s="13">
        <f t="shared" si="0"/>
        <v>1.1751196223895102</v>
      </c>
      <c r="G16" s="13">
        <f t="shared" si="0"/>
        <v>1.2663211972159218</v>
      </c>
      <c r="H16" s="13">
        <f t="shared" si="0"/>
        <v>1.3575227720423337</v>
      </c>
      <c r="I16" s="13">
        <f t="shared" si="0"/>
        <v>1.4487243468687454</v>
      </c>
      <c r="J16" s="13">
        <f t="shared" si="0"/>
        <v>1.5399259216951573</v>
      </c>
      <c r="K16" s="13">
        <f t="shared" si="0"/>
        <v>1.6311274965215692</v>
      </c>
      <c r="L16" s="13">
        <f t="shared" si="0"/>
        <v>1.7223290713479813</v>
      </c>
      <c r="N16" s="9">
        <v>0</v>
      </c>
      <c r="O16" s="13">
        <f>O3/(2+$D$16/100)/$A$13</f>
        <v>0.54195902378154914</v>
      </c>
      <c r="P16" s="13">
        <f t="shared" ref="P16:U16" si="1">P3/(2+$D$16/100)/$A$13</f>
        <v>0.58755981119475509</v>
      </c>
      <c r="Q16" s="13">
        <f t="shared" si="1"/>
        <v>0.63316059860796092</v>
      </c>
      <c r="R16" s="13">
        <f t="shared" si="1"/>
        <v>0.67876138602116687</v>
      </c>
      <c r="S16" s="13">
        <f t="shared" si="1"/>
        <v>0.7243621734343727</v>
      </c>
      <c r="T16" s="13">
        <f t="shared" si="1"/>
        <v>0.76996296084757865</v>
      </c>
      <c r="U16" s="13">
        <f t="shared" si="1"/>
        <v>0.81556374826078459</v>
      </c>
      <c r="V16" s="13">
        <f>V3/(2+$D$16/100)/$A$13</f>
        <v>0.86116453567399065</v>
      </c>
    </row>
    <row r="17" spans="1:22" x14ac:dyDescent="0.25">
      <c r="A17" s="9">
        <v>8</v>
      </c>
      <c r="B17" s="19">
        <v>7.5361000000000002</v>
      </c>
      <c r="D17" s="9">
        <v>1</v>
      </c>
      <c r="E17" s="13">
        <f t="shared" ref="E17:E26" si="2">E4/(1+D17/100)/$A$13</f>
        <v>0.96884154472070738</v>
      </c>
      <c r="F17" s="13">
        <f t="shared" ref="F17:F26" si="3">F4/(1+D17/100)/$A$13</f>
        <v>1.0283912388700409</v>
      </c>
      <c r="G17" s="13">
        <f t="shared" ref="G17:G26" si="4">G4/(1+D17/100)/$A$13</f>
        <v>1.0879409330193743</v>
      </c>
      <c r="H17" s="13">
        <f t="shared" ref="H17:H26" si="5">H4/(1+D17/100)/$A$13</f>
        <v>1.147490627168708</v>
      </c>
      <c r="I17" s="13">
        <f t="shared" ref="I17:I26" si="6">I4/(1+D17/100)/$A$13</f>
        <v>1.2070403213180414</v>
      </c>
      <c r="J17" s="13">
        <f t="shared" ref="J17:J26" si="7">J4/(1+D17/100)/$A$13</f>
        <v>1.2665900154673748</v>
      </c>
      <c r="K17" s="13">
        <f t="shared" ref="K17:K26" si="8">K4/(1+D17/100)/$A$13</f>
        <v>1.3261397096167082</v>
      </c>
      <c r="L17" s="13">
        <f t="shared" ref="L17:L26" si="9">L4/(1+D17/100)/$A$13</f>
        <v>1.3856894037660419</v>
      </c>
      <c r="N17" s="9">
        <v>1</v>
      </c>
      <c r="O17" s="13">
        <f>O4/(2+N17/100)/$A$13</f>
        <v>0.48683082595418642</v>
      </c>
      <c r="P17" s="13">
        <f>P4/(2+N17/100)/$A$13</f>
        <v>0.51675380659638881</v>
      </c>
      <c r="Q17" s="13">
        <f>Q4/(2+N17/100)/$A$13</f>
        <v>0.54667678723859114</v>
      </c>
      <c r="R17" s="13">
        <f>R4/(2+N17/100)/$A$13</f>
        <v>0.57659976788079359</v>
      </c>
      <c r="S17" s="13">
        <f>S4/(2+N17/100)/$A$13</f>
        <v>0.60652274852299592</v>
      </c>
      <c r="T17" s="13">
        <f>T4/(2+N17/100)/$A$13</f>
        <v>0.63644572916519837</v>
      </c>
      <c r="U17" s="13">
        <f>U4/(2+N17/100)/$A$13</f>
        <v>0.66636870980740071</v>
      </c>
      <c r="V17" s="13">
        <f>V4/(2+N17/100)/$A$13</f>
        <v>0.69629169044960315</v>
      </c>
    </row>
    <row r="18" spans="1:22" x14ac:dyDescent="0.25">
      <c r="A18" s="9">
        <v>7</v>
      </c>
      <c r="B18" s="19">
        <v>7.9427000000000003</v>
      </c>
      <c r="D18" s="9">
        <v>2</v>
      </c>
      <c r="E18" s="13">
        <f t="shared" si="2"/>
        <v>0.95934309820383767</v>
      </c>
      <c r="F18" s="13">
        <f t="shared" si="3"/>
        <v>1.0183089718222955</v>
      </c>
      <c r="G18" s="13">
        <f t="shared" si="4"/>
        <v>1.077274845440753</v>
      </c>
      <c r="H18" s="13">
        <f t="shared" si="5"/>
        <v>1.1362407190592108</v>
      </c>
      <c r="I18" s="13">
        <f t="shared" si="6"/>
        <v>1.1952065926776685</v>
      </c>
      <c r="J18" s="13">
        <f t="shared" si="7"/>
        <v>1.254172466296126</v>
      </c>
      <c r="K18" s="13">
        <f t="shared" si="8"/>
        <v>1.3131383399145837</v>
      </c>
      <c r="L18" s="13">
        <f t="shared" si="9"/>
        <v>1.3721042135330415</v>
      </c>
      <c r="N18" s="9">
        <v>2</v>
      </c>
      <c r="O18" s="13">
        <f t="shared" ref="O18:O26" si="10">O5/(2+N18/100)/$A$13</f>
        <v>0.48442077236035369</v>
      </c>
      <c r="P18" s="13">
        <f t="shared" ref="P18:P26" si="11">P5/(2+N18/100)/$A$13</f>
        <v>0.51419561943502046</v>
      </c>
      <c r="Q18" s="13">
        <f t="shared" ref="Q18:Q26" si="12">Q5/(2+N18/100)/$A$13</f>
        <v>0.54397046650968717</v>
      </c>
      <c r="R18" s="13">
        <f t="shared" ref="R18:R26" si="13">R5/(2+N18/100)/$A$13</f>
        <v>0.57374531358435399</v>
      </c>
      <c r="S18" s="13">
        <f t="shared" ref="S18:S26" si="14">S5/(2+N18/100)/$A$13</f>
        <v>0.6035201606590207</v>
      </c>
      <c r="T18" s="13">
        <f t="shared" ref="T18:T26" si="15">T5/(2+N18/100)/$A$13</f>
        <v>0.63329500773368741</v>
      </c>
      <c r="U18" s="13">
        <f t="shared" ref="U18:U26" si="16">U5/(2+N18/100)/$A$13</f>
        <v>0.66306985480835412</v>
      </c>
      <c r="V18" s="13">
        <f t="shared" ref="V18:V26" si="17">V5/(2+N18/100)/$A$13</f>
        <v>0.69284470188302094</v>
      </c>
    </row>
    <row r="19" spans="1:22" x14ac:dyDescent="0.25">
      <c r="A19" s="9">
        <v>6</v>
      </c>
      <c r="B19" s="19">
        <v>8.3838000000000008</v>
      </c>
      <c r="D19" s="9">
        <v>3</v>
      </c>
      <c r="E19" s="13">
        <f t="shared" si="2"/>
        <v>0.95002908754166449</v>
      </c>
      <c r="F19" s="13">
        <f t="shared" si="3"/>
        <v>1.0084224769502343</v>
      </c>
      <c r="G19" s="13">
        <f t="shared" si="4"/>
        <v>1.0668158663588039</v>
      </c>
      <c r="H19" s="13">
        <f t="shared" si="5"/>
        <v>1.1252092557673736</v>
      </c>
      <c r="I19" s="13">
        <f t="shared" si="6"/>
        <v>1.1836026451759434</v>
      </c>
      <c r="J19" s="13">
        <f t="shared" si="7"/>
        <v>1.2419960345845131</v>
      </c>
      <c r="K19" s="13">
        <f t="shared" si="8"/>
        <v>1.3003894239930827</v>
      </c>
      <c r="L19" s="13">
        <f t="shared" si="9"/>
        <v>1.3587828134016526</v>
      </c>
      <c r="N19" s="9">
        <v>3</v>
      </c>
      <c r="O19" s="13">
        <f t="shared" si="10"/>
        <v>0.48203446313690373</v>
      </c>
      <c r="P19" s="13">
        <f t="shared" si="11"/>
        <v>0.51166263608804996</v>
      </c>
      <c r="Q19" s="13">
        <f t="shared" si="12"/>
        <v>0.54129080903919613</v>
      </c>
      <c r="R19" s="13">
        <f t="shared" si="13"/>
        <v>0.57091898199034241</v>
      </c>
      <c r="S19" s="13">
        <f t="shared" si="14"/>
        <v>0.60054715494148869</v>
      </c>
      <c r="T19" s="13">
        <f t="shared" si="15"/>
        <v>0.63017532789263475</v>
      </c>
      <c r="U19" s="13">
        <f t="shared" si="16"/>
        <v>0.65980350084378103</v>
      </c>
      <c r="V19" s="13">
        <f t="shared" si="17"/>
        <v>0.68943167379492731</v>
      </c>
    </row>
    <row r="20" spans="1:22" x14ac:dyDescent="0.25">
      <c r="A20" s="9">
        <v>5</v>
      </c>
      <c r="B20" s="19">
        <v>8.8633000000000006</v>
      </c>
      <c r="D20" s="9">
        <v>4</v>
      </c>
      <c r="E20" s="13">
        <f t="shared" si="2"/>
        <v>0.94089419246914852</v>
      </c>
      <c r="F20" s="13">
        <f t="shared" si="3"/>
        <v>0.99872610697955899</v>
      </c>
      <c r="G20" s="13">
        <f t="shared" si="4"/>
        <v>1.0565580214899692</v>
      </c>
      <c r="H20" s="13">
        <f t="shared" si="5"/>
        <v>1.1143899360003797</v>
      </c>
      <c r="I20" s="13">
        <f t="shared" si="6"/>
        <v>1.1722218505107902</v>
      </c>
      <c r="J20" s="13">
        <f t="shared" si="7"/>
        <v>1.2300537650212005</v>
      </c>
      <c r="K20" s="13">
        <f t="shared" si="8"/>
        <v>1.2878856795316107</v>
      </c>
      <c r="L20" s="13">
        <f t="shared" si="9"/>
        <v>1.3457175940420214</v>
      </c>
      <c r="N20" s="9">
        <v>4</v>
      </c>
      <c r="O20" s="13">
        <f t="shared" si="10"/>
        <v>0.47967154910191884</v>
      </c>
      <c r="P20" s="13">
        <f t="shared" si="11"/>
        <v>0.50915448591114776</v>
      </c>
      <c r="Q20" s="13">
        <f t="shared" si="12"/>
        <v>0.53863742272037651</v>
      </c>
      <c r="R20" s="13">
        <f t="shared" si="13"/>
        <v>0.56812035952960538</v>
      </c>
      <c r="S20" s="13">
        <f t="shared" si="14"/>
        <v>0.59760329633883424</v>
      </c>
      <c r="T20" s="13">
        <f t="shared" si="15"/>
        <v>0.627086233148063</v>
      </c>
      <c r="U20" s="13">
        <f t="shared" si="16"/>
        <v>0.65656916995729186</v>
      </c>
      <c r="V20" s="13">
        <f t="shared" si="17"/>
        <v>0.68605210676652073</v>
      </c>
    </row>
    <row r="21" spans="1:22" x14ac:dyDescent="0.25">
      <c r="A21" s="9">
        <v>4</v>
      </c>
      <c r="B21" s="19">
        <v>9.3850999999999996</v>
      </c>
      <c r="D21" s="9">
        <v>5</v>
      </c>
      <c r="E21" s="13">
        <f t="shared" si="2"/>
        <v>0.93193329539801384</v>
      </c>
      <c r="F21" s="13">
        <f t="shared" si="3"/>
        <v>0.98921442977022978</v>
      </c>
      <c r="G21" s="13">
        <f t="shared" si="4"/>
        <v>1.0464955641424458</v>
      </c>
      <c r="H21" s="13">
        <f t="shared" si="5"/>
        <v>1.103776698514662</v>
      </c>
      <c r="I21" s="13">
        <f t="shared" si="6"/>
        <v>1.1610578328868779</v>
      </c>
      <c r="J21" s="13">
        <f t="shared" si="7"/>
        <v>1.2183389672590939</v>
      </c>
      <c r="K21" s="13">
        <f t="shared" si="8"/>
        <v>1.2756201016313098</v>
      </c>
      <c r="L21" s="13">
        <f t="shared" si="9"/>
        <v>1.3329012360035259</v>
      </c>
      <c r="N21" s="9">
        <v>5</v>
      </c>
      <c r="O21" s="13">
        <f t="shared" si="10"/>
        <v>0.47733168788678759</v>
      </c>
      <c r="P21" s="13">
        <f t="shared" si="11"/>
        <v>0.506670805492069</v>
      </c>
      <c r="Q21" s="13">
        <f t="shared" si="12"/>
        <v>0.5360099230973504</v>
      </c>
      <c r="R21" s="13">
        <f t="shared" si="13"/>
        <v>0.5653490407026317</v>
      </c>
      <c r="S21" s="13">
        <f t="shared" si="14"/>
        <v>0.59468815830791311</v>
      </c>
      <c r="T21" s="13">
        <f t="shared" si="15"/>
        <v>0.6240272759131944</v>
      </c>
      <c r="U21" s="13">
        <f t="shared" si="16"/>
        <v>0.65336639351847581</v>
      </c>
      <c r="V21" s="13">
        <f t="shared" si="17"/>
        <v>0.68270551112375732</v>
      </c>
    </row>
    <row r="22" spans="1:22" x14ac:dyDescent="0.25">
      <c r="A22" s="9">
        <v>3</v>
      </c>
      <c r="B22" s="19">
        <v>9.9540000000000006</v>
      </c>
      <c r="D22" s="9">
        <v>6</v>
      </c>
      <c r="E22" s="13">
        <f t="shared" si="2"/>
        <v>0.92314147185652307</v>
      </c>
      <c r="F22" s="13">
        <f t="shared" si="3"/>
        <v>0.97988221816862386</v>
      </c>
      <c r="G22" s="13">
        <f t="shared" si="4"/>
        <v>1.0366229644807246</v>
      </c>
      <c r="H22" s="13">
        <f t="shared" si="5"/>
        <v>1.0933637107928253</v>
      </c>
      <c r="I22" s="13">
        <f t="shared" si="6"/>
        <v>1.1501044571049261</v>
      </c>
      <c r="J22" s="13">
        <f t="shared" si="7"/>
        <v>1.2068452034170269</v>
      </c>
      <c r="K22" s="13">
        <f t="shared" si="8"/>
        <v>1.2635859497291275</v>
      </c>
      <c r="L22" s="13">
        <f t="shared" si="9"/>
        <v>1.3203266960412285</v>
      </c>
      <c r="N22" s="9">
        <v>6</v>
      </c>
      <c r="O22" s="13">
        <f t="shared" si="10"/>
        <v>0.47501454377083224</v>
      </c>
      <c r="P22" s="13">
        <f t="shared" si="11"/>
        <v>0.50421123847511717</v>
      </c>
      <c r="Q22" s="13">
        <f t="shared" si="12"/>
        <v>0.53340793317940194</v>
      </c>
      <c r="R22" s="13">
        <f t="shared" si="13"/>
        <v>0.56260462788368681</v>
      </c>
      <c r="S22" s="13">
        <f t="shared" si="14"/>
        <v>0.59180132258797169</v>
      </c>
      <c r="T22" s="13">
        <f t="shared" si="15"/>
        <v>0.62099801729225657</v>
      </c>
      <c r="U22" s="13">
        <f t="shared" si="16"/>
        <v>0.65019471199654133</v>
      </c>
      <c r="V22" s="13">
        <f t="shared" si="17"/>
        <v>0.67939140670082632</v>
      </c>
    </row>
    <row r="23" spans="1:22" x14ac:dyDescent="0.25">
      <c r="A23" s="9">
        <v>2</v>
      </c>
      <c r="B23" s="19">
        <v>10.5753</v>
      </c>
      <c r="D23" s="9">
        <v>7</v>
      </c>
      <c r="E23" s="13">
        <f t="shared" si="2"/>
        <v>0.91451398146534058</v>
      </c>
      <c r="F23" s="13">
        <f t="shared" si="3"/>
        <v>0.9707244404287303</v>
      </c>
      <c r="G23" s="13">
        <f t="shared" si="4"/>
        <v>1.0269348993921197</v>
      </c>
      <c r="H23" s="13">
        <f t="shared" si="5"/>
        <v>1.0831453583555093</v>
      </c>
      <c r="I23" s="13">
        <f t="shared" si="6"/>
        <v>1.1393558173188989</v>
      </c>
      <c r="J23" s="13">
        <f t="shared" si="7"/>
        <v>1.1955662762822883</v>
      </c>
      <c r="K23" s="13">
        <f t="shared" si="8"/>
        <v>1.2517767352456777</v>
      </c>
      <c r="L23" s="13">
        <f t="shared" si="9"/>
        <v>1.3079871942090675</v>
      </c>
      <c r="N23" s="9">
        <v>7</v>
      </c>
      <c r="O23" s="13">
        <f t="shared" si="10"/>
        <v>0.47271978752073168</v>
      </c>
      <c r="P23" s="13">
        <f t="shared" si="11"/>
        <v>0.50177543539069636</v>
      </c>
      <c r="Q23" s="13">
        <f t="shared" si="12"/>
        <v>0.53083108326066097</v>
      </c>
      <c r="R23" s="13">
        <f t="shared" si="13"/>
        <v>0.55988673113062559</v>
      </c>
      <c r="S23" s="13">
        <f t="shared" si="14"/>
        <v>0.58894237900059032</v>
      </c>
      <c r="T23" s="13">
        <f t="shared" si="15"/>
        <v>0.61799802687055494</v>
      </c>
      <c r="U23" s="13">
        <f t="shared" si="16"/>
        <v>0.64705367474051945</v>
      </c>
      <c r="V23" s="13">
        <f t="shared" si="17"/>
        <v>0.67610932261048429</v>
      </c>
    </row>
    <row r="24" spans="1:22" x14ac:dyDescent="0.25">
      <c r="A24" s="9">
        <v>1</v>
      </c>
      <c r="B24" s="19">
        <v>11.255100000000001</v>
      </c>
      <c r="D24" s="9">
        <v>8</v>
      </c>
      <c r="E24" s="13">
        <f t="shared" si="2"/>
        <v>0.9060462594147356</v>
      </c>
      <c r="F24" s="13">
        <f t="shared" si="3"/>
        <v>0.96173625116550121</v>
      </c>
      <c r="G24" s="13">
        <f t="shared" si="4"/>
        <v>1.0174262429162666</v>
      </c>
      <c r="H24" s="13">
        <f t="shared" si="5"/>
        <v>1.0731162346670324</v>
      </c>
      <c r="I24" s="13">
        <f t="shared" si="6"/>
        <v>1.128806226417798</v>
      </c>
      <c r="J24" s="13">
        <f t="shared" si="7"/>
        <v>1.1844962181685634</v>
      </c>
      <c r="K24" s="13">
        <f t="shared" si="8"/>
        <v>1.2401862099193288</v>
      </c>
      <c r="L24" s="13">
        <f t="shared" si="9"/>
        <v>1.2958762016700947</v>
      </c>
      <c r="N24" s="9">
        <v>8</v>
      </c>
      <c r="O24" s="13">
        <f t="shared" si="10"/>
        <v>0.47044709623457426</v>
      </c>
      <c r="P24" s="13">
        <f t="shared" si="11"/>
        <v>0.4993630534897795</v>
      </c>
      <c r="Q24" s="13">
        <f t="shared" si="12"/>
        <v>0.52827901074498462</v>
      </c>
      <c r="R24" s="13">
        <f t="shared" si="13"/>
        <v>0.55719496800018986</v>
      </c>
      <c r="S24" s="13">
        <f t="shared" si="14"/>
        <v>0.5861109252553951</v>
      </c>
      <c r="T24" s="13">
        <f t="shared" si="15"/>
        <v>0.61502688251060023</v>
      </c>
      <c r="U24" s="13">
        <f t="shared" si="16"/>
        <v>0.64394283976580535</v>
      </c>
      <c r="V24" s="13">
        <f t="shared" si="17"/>
        <v>0.6728587970210107</v>
      </c>
    </row>
    <row r="25" spans="1:22" x14ac:dyDescent="0.25">
      <c r="A25" s="9">
        <v>0</v>
      </c>
      <c r="B25" s="19">
        <v>12</v>
      </c>
      <c r="D25" s="9">
        <v>9</v>
      </c>
      <c r="E25" s="13">
        <f t="shared" si="2"/>
        <v>0.8977339084109307</v>
      </c>
      <c r="F25" s="13">
        <f t="shared" si="3"/>
        <v>0.95291298280618475</v>
      </c>
      <c r="G25" s="13">
        <f t="shared" si="4"/>
        <v>1.0080920572014387</v>
      </c>
      <c r="H25" s="13">
        <f t="shared" si="5"/>
        <v>1.0632711315966925</v>
      </c>
      <c r="I25" s="13">
        <f t="shared" si="6"/>
        <v>1.1184502059919466</v>
      </c>
      <c r="J25" s="13">
        <f t="shared" si="7"/>
        <v>1.1736292803872004</v>
      </c>
      <c r="K25" s="13">
        <f t="shared" si="8"/>
        <v>1.2288083547824542</v>
      </c>
      <c r="L25" s="13">
        <f t="shared" si="9"/>
        <v>1.2839874291777085</v>
      </c>
      <c r="N25" s="9">
        <v>9</v>
      </c>
      <c r="O25" s="13">
        <f t="shared" si="10"/>
        <v>0.46819615319038971</v>
      </c>
      <c r="P25" s="13">
        <f t="shared" si="11"/>
        <v>0.49697375658312987</v>
      </c>
      <c r="Q25" s="13">
        <f t="shared" si="12"/>
        <v>0.52575135997586986</v>
      </c>
      <c r="R25" s="13">
        <f t="shared" si="13"/>
        <v>0.55452896336861013</v>
      </c>
      <c r="S25" s="13">
        <f t="shared" si="14"/>
        <v>0.58330656676135018</v>
      </c>
      <c r="T25" s="13">
        <f t="shared" si="15"/>
        <v>0.61208417015409022</v>
      </c>
      <c r="U25" s="13">
        <f t="shared" si="16"/>
        <v>0.64086177354683027</v>
      </c>
      <c r="V25" s="13">
        <f t="shared" si="17"/>
        <v>0.66963937693957054</v>
      </c>
    </row>
    <row r="26" spans="1:22" x14ac:dyDescent="0.25">
      <c r="A26" s="31" t="s">
        <v>25</v>
      </c>
      <c r="B26" s="31"/>
      <c r="D26" s="9">
        <v>10</v>
      </c>
      <c r="E26" s="13">
        <f t="shared" si="2"/>
        <v>0.88957269106174031</v>
      </c>
      <c r="F26" s="13">
        <f t="shared" si="3"/>
        <v>0.94425013750794662</v>
      </c>
      <c r="G26" s="13">
        <f t="shared" si="4"/>
        <v>0.99892758395415282</v>
      </c>
      <c r="H26" s="13">
        <f t="shared" si="5"/>
        <v>1.053605030400359</v>
      </c>
      <c r="I26" s="13">
        <f t="shared" si="6"/>
        <v>1.1082824768465651</v>
      </c>
      <c r="J26" s="13">
        <f t="shared" si="7"/>
        <v>1.1629599232927712</v>
      </c>
      <c r="K26" s="13">
        <f t="shared" si="8"/>
        <v>1.2176373697389773</v>
      </c>
      <c r="L26" s="13">
        <f t="shared" si="9"/>
        <v>1.2723148161851838</v>
      </c>
      <c r="N26" s="9">
        <v>10</v>
      </c>
      <c r="O26" s="13">
        <f t="shared" si="10"/>
        <v>0.46596664769900692</v>
      </c>
      <c r="P26" s="13">
        <f t="shared" si="11"/>
        <v>0.49460721488511489</v>
      </c>
      <c r="Q26" s="13">
        <f t="shared" si="12"/>
        <v>0.52324778207122291</v>
      </c>
      <c r="R26" s="13">
        <f t="shared" si="13"/>
        <v>0.55188834925733099</v>
      </c>
      <c r="S26" s="13">
        <f t="shared" si="14"/>
        <v>0.58052891644343896</v>
      </c>
      <c r="T26" s="13">
        <f t="shared" si="15"/>
        <v>0.60916948362954693</v>
      </c>
      <c r="U26" s="13">
        <f t="shared" si="16"/>
        <v>0.63781005081565489</v>
      </c>
      <c r="V26" s="13">
        <f t="shared" si="17"/>
        <v>0.66645061800176297</v>
      </c>
    </row>
    <row r="27" spans="1:22" x14ac:dyDescent="0.25">
      <c r="A27" s="32">
        <v>11.255100000000001</v>
      </c>
      <c r="B27" s="32"/>
    </row>
    <row r="28" spans="1:22" x14ac:dyDescent="0.25">
      <c r="A28" s="32" t="s">
        <v>26</v>
      </c>
      <c r="B28" s="32"/>
    </row>
    <row r="29" spans="1:22" x14ac:dyDescent="0.25">
      <c r="A29" s="12" t="s">
        <v>13</v>
      </c>
      <c r="B29" s="18" t="s">
        <v>24</v>
      </c>
      <c r="D29" s="36" t="s">
        <v>15</v>
      </c>
      <c r="E29" s="36"/>
      <c r="F29" s="36"/>
      <c r="G29" s="36"/>
      <c r="H29" s="36"/>
      <c r="I29" s="36"/>
      <c r="J29" s="36"/>
      <c r="K29" s="36"/>
      <c r="L29" s="36"/>
      <c r="M29" s="14"/>
      <c r="N29" s="35" t="s">
        <v>16</v>
      </c>
      <c r="O29" s="35"/>
      <c r="P29" s="35"/>
      <c r="Q29" s="35"/>
      <c r="R29" s="35"/>
      <c r="S29" s="35"/>
      <c r="T29" s="35"/>
      <c r="U29" s="35"/>
      <c r="V29" s="35"/>
    </row>
    <row r="30" spans="1:22" x14ac:dyDescent="0.25">
      <c r="A30" s="9">
        <v>8</v>
      </c>
      <c r="B30" s="19">
        <v>8.1389880000000012</v>
      </c>
      <c r="E30" s="38" t="s">
        <v>20</v>
      </c>
      <c r="F30" s="38"/>
      <c r="G30" s="38"/>
      <c r="H30" s="38"/>
      <c r="I30" s="38"/>
      <c r="J30" s="38"/>
      <c r="K30" s="38"/>
      <c r="L30" s="38"/>
      <c r="M30" s="14"/>
      <c r="O30" s="37" t="s">
        <v>21</v>
      </c>
      <c r="P30" s="37"/>
      <c r="Q30" s="37"/>
      <c r="R30" s="37"/>
      <c r="S30" s="37"/>
      <c r="T30" s="37"/>
      <c r="U30" s="37"/>
      <c r="V30" s="37"/>
    </row>
    <row r="31" spans="1:22" x14ac:dyDescent="0.25">
      <c r="A31" s="9">
        <v>7</v>
      </c>
      <c r="B31" s="19">
        <v>8.4986890000000006</v>
      </c>
      <c r="D31" s="15"/>
      <c r="E31" s="15">
        <v>3</v>
      </c>
      <c r="F31" s="15">
        <v>4</v>
      </c>
      <c r="G31" s="15">
        <v>5</v>
      </c>
      <c r="H31" s="15">
        <v>6</v>
      </c>
      <c r="I31" s="15">
        <v>7</v>
      </c>
      <c r="J31" s="15">
        <v>8</v>
      </c>
      <c r="K31" s="15">
        <v>9</v>
      </c>
      <c r="L31" s="15">
        <v>10</v>
      </c>
      <c r="M31" s="14"/>
      <c r="N31" s="16"/>
      <c r="O31" s="16">
        <v>3</v>
      </c>
      <c r="P31" s="16">
        <v>4</v>
      </c>
      <c r="Q31" s="16">
        <v>5</v>
      </c>
      <c r="R31" s="16">
        <v>6</v>
      </c>
      <c r="S31" s="16">
        <v>7</v>
      </c>
      <c r="T31" s="16">
        <v>8</v>
      </c>
      <c r="U31" s="16">
        <v>9</v>
      </c>
      <c r="V31" s="16">
        <v>10</v>
      </c>
    </row>
    <row r="32" spans="1:22" x14ac:dyDescent="0.25">
      <c r="A32" s="9">
        <v>6</v>
      </c>
      <c r="B32" s="19">
        <v>8.8868280000000013</v>
      </c>
      <c r="C32" s="33" t="s">
        <v>22</v>
      </c>
      <c r="D32" s="10">
        <v>0</v>
      </c>
      <c r="E32" s="15">
        <f>E16</f>
        <v>1.0839180475630983</v>
      </c>
      <c r="F32" s="15">
        <f t="shared" ref="F32:L32" si="18">F16</f>
        <v>1.1751196223895102</v>
      </c>
      <c r="G32" s="15">
        <f t="shared" si="18"/>
        <v>1.2663211972159218</v>
      </c>
      <c r="H32" s="15">
        <f t="shared" si="18"/>
        <v>1.3575227720423337</v>
      </c>
      <c r="I32" s="15">
        <f t="shared" si="18"/>
        <v>1.4487243468687454</v>
      </c>
      <c r="J32" s="15">
        <f t="shared" si="18"/>
        <v>1.5399259216951573</v>
      </c>
      <c r="K32" s="15">
        <f t="shared" si="18"/>
        <v>1.6311274965215692</v>
      </c>
      <c r="L32" s="15">
        <f t="shared" si="18"/>
        <v>1.7223290713479813</v>
      </c>
      <c r="M32" s="34" t="s">
        <v>22</v>
      </c>
      <c r="N32" s="11">
        <v>0</v>
      </c>
      <c r="O32" s="16">
        <f>O16</f>
        <v>0.54195902378154914</v>
      </c>
      <c r="P32" s="16">
        <f t="shared" ref="P32:V32" si="19">P16</f>
        <v>0.58755981119475509</v>
      </c>
      <c r="Q32" s="16">
        <f t="shared" si="19"/>
        <v>0.63316059860796092</v>
      </c>
      <c r="R32" s="16">
        <f t="shared" si="19"/>
        <v>0.67876138602116687</v>
      </c>
      <c r="S32" s="16">
        <f t="shared" si="19"/>
        <v>0.7243621734343727</v>
      </c>
      <c r="T32" s="16">
        <f t="shared" si="19"/>
        <v>0.76996296084757865</v>
      </c>
      <c r="U32" s="16">
        <f t="shared" si="19"/>
        <v>0.81556374826078459</v>
      </c>
      <c r="V32" s="16">
        <f t="shared" si="19"/>
        <v>0.86116453567399065</v>
      </c>
    </row>
    <row r="33" spans="1:22" x14ac:dyDescent="0.25">
      <c r="A33" s="9">
        <v>5</v>
      </c>
      <c r="B33" s="19">
        <v>9.3064650000000011</v>
      </c>
      <c r="C33" s="33"/>
      <c r="D33" s="10">
        <v>1</v>
      </c>
      <c r="E33" s="15">
        <f t="shared" ref="E33:L33" si="20">E17</f>
        <v>0.96884154472070738</v>
      </c>
      <c r="F33" s="15">
        <f t="shared" si="20"/>
        <v>1.0283912388700409</v>
      </c>
      <c r="G33" s="15">
        <f t="shared" si="20"/>
        <v>1.0879409330193743</v>
      </c>
      <c r="H33" s="15">
        <f t="shared" si="20"/>
        <v>1.147490627168708</v>
      </c>
      <c r="I33" s="15">
        <f t="shared" si="20"/>
        <v>1.2070403213180414</v>
      </c>
      <c r="J33" s="15">
        <f t="shared" si="20"/>
        <v>1.2665900154673748</v>
      </c>
      <c r="K33" s="15">
        <f t="shared" si="20"/>
        <v>1.3261397096167082</v>
      </c>
      <c r="L33" s="15">
        <f t="shared" si="20"/>
        <v>1.3856894037660419</v>
      </c>
      <c r="M33" s="34"/>
      <c r="N33" s="11">
        <v>1</v>
      </c>
      <c r="O33" s="16">
        <f t="shared" ref="O33:V33" si="21">O17</f>
        <v>0.48683082595418642</v>
      </c>
      <c r="P33" s="16">
        <f t="shared" si="21"/>
        <v>0.51675380659638881</v>
      </c>
      <c r="Q33" s="16">
        <f t="shared" si="21"/>
        <v>0.54667678723859114</v>
      </c>
      <c r="R33" s="16">
        <f t="shared" si="21"/>
        <v>0.57659976788079359</v>
      </c>
      <c r="S33" s="16">
        <f t="shared" si="21"/>
        <v>0.60652274852299592</v>
      </c>
      <c r="T33" s="16">
        <f t="shared" si="21"/>
        <v>0.63644572916519837</v>
      </c>
      <c r="U33" s="16">
        <f t="shared" si="21"/>
        <v>0.66636870980740071</v>
      </c>
      <c r="V33" s="16">
        <f t="shared" si="21"/>
        <v>0.69629169044960315</v>
      </c>
    </row>
    <row r="34" spans="1:22" x14ac:dyDescent="0.25">
      <c r="A34" s="9">
        <v>4</v>
      </c>
      <c r="B34" s="19">
        <v>9.7605039999999992</v>
      </c>
      <c r="C34" s="33"/>
      <c r="D34" s="10">
        <v>2</v>
      </c>
      <c r="E34" s="15">
        <f t="shared" ref="E34:L34" si="22">E18</f>
        <v>0.95934309820383767</v>
      </c>
      <c r="F34" s="15">
        <f t="shared" si="22"/>
        <v>1.0183089718222955</v>
      </c>
      <c r="G34" s="15">
        <f t="shared" si="22"/>
        <v>1.077274845440753</v>
      </c>
      <c r="H34" s="15">
        <f t="shared" si="22"/>
        <v>1.1362407190592108</v>
      </c>
      <c r="I34" s="15">
        <f t="shared" si="22"/>
        <v>1.1952065926776685</v>
      </c>
      <c r="J34" s="15">
        <f t="shared" si="22"/>
        <v>1.254172466296126</v>
      </c>
      <c r="K34" s="15">
        <f t="shared" si="22"/>
        <v>1.3131383399145837</v>
      </c>
      <c r="L34" s="15">
        <f t="shared" si="22"/>
        <v>1.3721042135330415</v>
      </c>
      <c r="M34" s="34"/>
      <c r="N34" s="11">
        <v>2</v>
      </c>
      <c r="O34" s="16">
        <f t="shared" ref="O34:V34" si="23">O18</f>
        <v>0.48442077236035369</v>
      </c>
      <c r="P34" s="16">
        <f t="shared" si="23"/>
        <v>0.51419561943502046</v>
      </c>
      <c r="Q34" s="16">
        <f t="shared" si="23"/>
        <v>0.54397046650968717</v>
      </c>
      <c r="R34" s="16">
        <f t="shared" si="23"/>
        <v>0.57374531358435399</v>
      </c>
      <c r="S34" s="16">
        <f t="shared" si="23"/>
        <v>0.6035201606590207</v>
      </c>
      <c r="T34" s="16">
        <f t="shared" si="23"/>
        <v>0.63329500773368741</v>
      </c>
      <c r="U34" s="16">
        <f t="shared" si="23"/>
        <v>0.66306985480835412</v>
      </c>
      <c r="V34" s="16">
        <f t="shared" si="23"/>
        <v>0.69284470188302094</v>
      </c>
    </row>
    <row r="35" spans="1:22" x14ac:dyDescent="0.25">
      <c r="A35" s="9">
        <v>3</v>
      </c>
      <c r="B35" s="19">
        <v>10.25262</v>
      </c>
      <c r="C35" s="33"/>
      <c r="D35" s="10">
        <v>3</v>
      </c>
      <c r="E35" s="15">
        <f t="shared" ref="E35:L35" si="24">E19</f>
        <v>0.95002908754166449</v>
      </c>
      <c r="F35" s="15">
        <f t="shared" si="24"/>
        <v>1.0084224769502343</v>
      </c>
      <c r="G35" s="15">
        <f t="shared" si="24"/>
        <v>1.0668158663588039</v>
      </c>
      <c r="H35" s="15">
        <f t="shared" si="24"/>
        <v>1.1252092557673736</v>
      </c>
      <c r="I35" s="15">
        <f t="shared" si="24"/>
        <v>1.1836026451759434</v>
      </c>
      <c r="J35" s="15">
        <f t="shared" si="24"/>
        <v>1.2419960345845131</v>
      </c>
      <c r="K35" s="15">
        <f t="shared" si="24"/>
        <v>1.3003894239930827</v>
      </c>
      <c r="L35" s="15">
        <f t="shared" si="24"/>
        <v>1.3587828134016526</v>
      </c>
      <c r="M35" s="34"/>
      <c r="N35" s="11">
        <v>3</v>
      </c>
      <c r="O35" s="16">
        <f t="shared" ref="O35:V35" si="25">O19</f>
        <v>0.48203446313690373</v>
      </c>
      <c r="P35" s="16">
        <f t="shared" si="25"/>
        <v>0.51166263608804996</v>
      </c>
      <c r="Q35" s="16">
        <f t="shared" si="25"/>
        <v>0.54129080903919613</v>
      </c>
      <c r="R35" s="16">
        <f t="shared" si="25"/>
        <v>0.57091898199034241</v>
      </c>
      <c r="S35" s="16">
        <f t="shared" si="25"/>
        <v>0.60054715494148869</v>
      </c>
      <c r="T35" s="16">
        <f t="shared" si="25"/>
        <v>0.63017532789263475</v>
      </c>
      <c r="U35" s="16">
        <f t="shared" si="25"/>
        <v>0.65980350084378103</v>
      </c>
      <c r="V35" s="16">
        <f t="shared" si="25"/>
        <v>0.68943167379492731</v>
      </c>
    </row>
    <row r="36" spans="1:22" x14ac:dyDescent="0.25">
      <c r="A36" s="9">
        <v>2</v>
      </c>
      <c r="B36" s="19">
        <v>10.786806</v>
      </c>
      <c r="C36" s="33"/>
      <c r="D36" s="10">
        <v>4</v>
      </c>
      <c r="E36" s="15">
        <f t="shared" ref="E36:L36" si="26">E20</f>
        <v>0.94089419246914852</v>
      </c>
      <c r="F36" s="15">
        <f t="shared" si="26"/>
        <v>0.99872610697955899</v>
      </c>
      <c r="G36" s="15">
        <f t="shared" si="26"/>
        <v>1.0565580214899692</v>
      </c>
      <c r="H36" s="15">
        <f t="shared" si="26"/>
        <v>1.1143899360003797</v>
      </c>
      <c r="I36" s="15">
        <f t="shared" si="26"/>
        <v>1.1722218505107902</v>
      </c>
      <c r="J36" s="15">
        <f t="shared" si="26"/>
        <v>1.2300537650212005</v>
      </c>
      <c r="K36" s="15">
        <f t="shared" si="26"/>
        <v>1.2878856795316107</v>
      </c>
      <c r="L36" s="15">
        <f t="shared" si="26"/>
        <v>1.3457175940420214</v>
      </c>
      <c r="M36" s="34"/>
      <c r="N36" s="11">
        <v>4</v>
      </c>
      <c r="O36" s="16">
        <f t="shared" ref="O36:V36" si="27">O20</f>
        <v>0.47967154910191884</v>
      </c>
      <c r="P36" s="16">
        <f t="shared" si="27"/>
        <v>0.50915448591114776</v>
      </c>
      <c r="Q36" s="16">
        <f t="shared" si="27"/>
        <v>0.53863742272037651</v>
      </c>
      <c r="R36" s="16">
        <f t="shared" si="27"/>
        <v>0.56812035952960538</v>
      </c>
      <c r="S36" s="16">
        <f t="shared" si="27"/>
        <v>0.59760329633883424</v>
      </c>
      <c r="T36" s="16">
        <f t="shared" si="27"/>
        <v>0.627086233148063</v>
      </c>
      <c r="U36" s="16">
        <f t="shared" si="27"/>
        <v>0.65656916995729186</v>
      </c>
      <c r="V36" s="16">
        <f t="shared" si="27"/>
        <v>0.68605210676652073</v>
      </c>
    </row>
    <row r="37" spans="1:22" x14ac:dyDescent="0.25">
      <c r="A37" s="9">
        <v>1</v>
      </c>
      <c r="B37" s="19">
        <v>11.367651</v>
      </c>
      <c r="C37" s="33"/>
      <c r="D37" s="10">
        <v>5</v>
      </c>
      <c r="E37" s="15">
        <f t="shared" ref="E37:L37" si="28">E21</f>
        <v>0.93193329539801384</v>
      </c>
      <c r="F37" s="15">
        <f t="shared" si="28"/>
        <v>0.98921442977022978</v>
      </c>
      <c r="G37" s="15">
        <f t="shared" si="28"/>
        <v>1.0464955641424458</v>
      </c>
      <c r="H37" s="15">
        <f t="shared" si="28"/>
        <v>1.103776698514662</v>
      </c>
      <c r="I37" s="15">
        <f t="shared" si="28"/>
        <v>1.1610578328868779</v>
      </c>
      <c r="J37" s="15">
        <f t="shared" si="28"/>
        <v>1.2183389672590939</v>
      </c>
      <c r="K37" s="15">
        <f t="shared" si="28"/>
        <v>1.2756201016313098</v>
      </c>
      <c r="L37" s="15">
        <f t="shared" si="28"/>
        <v>1.3329012360035259</v>
      </c>
      <c r="M37" s="34"/>
      <c r="N37" s="11">
        <v>5</v>
      </c>
      <c r="O37" s="16">
        <f t="shared" ref="O37:V37" si="29">O21</f>
        <v>0.47733168788678759</v>
      </c>
      <c r="P37" s="16">
        <f t="shared" si="29"/>
        <v>0.506670805492069</v>
      </c>
      <c r="Q37" s="16">
        <f t="shared" si="29"/>
        <v>0.5360099230973504</v>
      </c>
      <c r="R37" s="16">
        <f t="shared" si="29"/>
        <v>0.5653490407026317</v>
      </c>
      <c r="S37" s="16">
        <f t="shared" si="29"/>
        <v>0.59468815830791311</v>
      </c>
      <c r="T37" s="16">
        <f t="shared" si="29"/>
        <v>0.6240272759131944</v>
      </c>
      <c r="U37" s="16">
        <f t="shared" si="29"/>
        <v>0.65336639351847581</v>
      </c>
      <c r="V37" s="16">
        <f t="shared" si="29"/>
        <v>0.68270551112375732</v>
      </c>
    </row>
    <row r="38" spans="1:22" x14ac:dyDescent="0.25">
      <c r="A38" s="9">
        <v>0</v>
      </c>
      <c r="B38" s="19">
        <v>12</v>
      </c>
      <c r="C38" s="33"/>
      <c r="D38" s="10">
        <v>6</v>
      </c>
      <c r="E38" s="15">
        <f t="shared" ref="E38:L38" si="30">E22</f>
        <v>0.92314147185652307</v>
      </c>
      <c r="F38" s="15">
        <f t="shared" si="30"/>
        <v>0.97988221816862386</v>
      </c>
      <c r="G38" s="15">
        <f t="shared" si="30"/>
        <v>1.0366229644807246</v>
      </c>
      <c r="H38" s="15">
        <f t="shared" si="30"/>
        <v>1.0933637107928253</v>
      </c>
      <c r="I38" s="15">
        <f t="shared" si="30"/>
        <v>1.1501044571049261</v>
      </c>
      <c r="J38" s="15">
        <f t="shared" si="30"/>
        <v>1.2068452034170269</v>
      </c>
      <c r="K38" s="15">
        <f t="shared" si="30"/>
        <v>1.2635859497291275</v>
      </c>
      <c r="L38" s="15">
        <f t="shared" si="30"/>
        <v>1.3203266960412285</v>
      </c>
      <c r="M38" s="34"/>
      <c r="N38" s="11">
        <v>6</v>
      </c>
      <c r="O38" s="16">
        <f t="shared" ref="O38:V38" si="31">O22</f>
        <v>0.47501454377083224</v>
      </c>
      <c r="P38" s="16">
        <f t="shared" si="31"/>
        <v>0.50421123847511717</v>
      </c>
      <c r="Q38" s="16">
        <f t="shared" si="31"/>
        <v>0.53340793317940194</v>
      </c>
      <c r="R38" s="16">
        <f t="shared" si="31"/>
        <v>0.56260462788368681</v>
      </c>
      <c r="S38" s="16">
        <f t="shared" si="31"/>
        <v>0.59180132258797169</v>
      </c>
      <c r="T38" s="16">
        <f t="shared" si="31"/>
        <v>0.62099801729225657</v>
      </c>
      <c r="U38" s="16">
        <f t="shared" si="31"/>
        <v>0.65019471199654133</v>
      </c>
      <c r="V38" s="16">
        <f t="shared" si="31"/>
        <v>0.67939140670082632</v>
      </c>
    </row>
    <row r="39" spans="1:22" x14ac:dyDescent="0.25">
      <c r="A39" s="31" t="s">
        <v>25</v>
      </c>
      <c r="B39" s="31"/>
      <c r="C39" s="33"/>
      <c r="D39" s="10">
        <v>7</v>
      </c>
      <c r="E39" s="15">
        <f t="shared" ref="E39:L39" si="32">E23</f>
        <v>0.91451398146534058</v>
      </c>
      <c r="F39" s="15">
        <f t="shared" si="32"/>
        <v>0.9707244404287303</v>
      </c>
      <c r="G39" s="15">
        <f t="shared" si="32"/>
        <v>1.0269348993921197</v>
      </c>
      <c r="H39" s="15">
        <f t="shared" si="32"/>
        <v>1.0831453583555093</v>
      </c>
      <c r="I39" s="15">
        <f t="shared" si="32"/>
        <v>1.1393558173188989</v>
      </c>
      <c r="J39" s="15">
        <f t="shared" si="32"/>
        <v>1.1955662762822883</v>
      </c>
      <c r="K39" s="15">
        <f t="shared" si="32"/>
        <v>1.2517767352456777</v>
      </c>
      <c r="L39" s="15">
        <f t="shared" si="32"/>
        <v>1.3079871942090675</v>
      </c>
      <c r="M39" s="34"/>
      <c r="N39" s="11">
        <v>7</v>
      </c>
      <c r="O39" s="16">
        <f t="shared" ref="O39:V39" si="33">O23</f>
        <v>0.47271978752073168</v>
      </c>
      <c r="P39" s="16">
        <f t="shared" si="33"/>
        <v>0.50177543539069636</v>
      </c>
      <c r="Q39" s="16">
        <f t="shared" si="33"/>
        <v>0.53083108326066097</v>
      </c>
      <c r="R39" s="16">
        <f t="shared" si="33"/>
        <v>0.55988673113062559</v>
      </c>
      <c r="S39" s="16">
        <f t="shared" si="33"/>
        <v>0.58894237900059032</v>
      </c>
      <c r="T39" s="16">
        <f t="shared" si="33"/>
        <v>0.61799802687055494</v>
      </c>
      <c r="U39" s="16">
        <f t="shared" si="33"/>
        <v>0.64705367474051945</v>
      </c>
      <c r="V39" s="16">
        <f t="shared" si="33"/>
        <v>0.67610932261048429</v>
      </c>
    </row>
    <row r="40" spans="1:22" x14ac:dyDescent="0.25">
      <c r="A40" s="32">
        <v>11.367651</v>
      </c>
      <c r="B40" s="32"/>
      <c r="C40" s="33"/>
      <c r="D40" s="10">
        <v>8</v>
      </c>
      <c r="E40" s="15">
        <f t="shared" ref="E40:L40" si="34">E24</f>
        <v>0.9060462594147356</v>
      </c>
      <c r="F40" s="15">
        <f t="shared" si="34"/>
        <v>0.96173625116550121</v>
      </c>
      <c r="G40" s="15">
        <f t="shared" si="34"/>
        <v>1.0174262429162666</v>
      </c>
      <c r="H40" s="15">
        <f t="shared" si="34"/>
        <v>1.0731162346670324</v>
      </c>
      <c r="I40" s="15">
        <f t="shared" si="34"/>
        <v>1.128806226417798</v>
      </c>
      <c r="J40" s="15">
        <f t="shared" si="34"/>
        <v>1.1844962181685634</v>
      </c>
      <c r="K40" s="15">
        <f t="shared" si="34"/>
        <v>1.2401862099193288</v>
      </c>
      <c r="L40" s="15">
        <f t="shared" si="34"/>
        <v>1.2958762016700947</v>
      </c>
      <c r="M40" s="34"/>
      <c r="N40" s="11">
        <v>8</v>
      </c>
      <c r="O40" s="16">
        <f t="shared" ref="O40:V40" si="35">O24</f>
        <v>0.47044709623457426</v>
      </c>
      <c r="P40" s="16">
        <f t="shared" si="35"/>
        <v>0.4993630534897795</v>
      </c>
      <c r="Q40" s="16">
        <f t="shared" si="35"/>
        <v>0.52827901074498462</v>
      </c>
      <c r="R40" s="16">
        <f t="shared" si="35"/>
        <v>0.55719496800018986</v>
      </c>
      <c r="S40" s="16">
        <f t="shared" si="35"/>
        <v>0.5861109252553951</v>
      </c>
      <c r="T40" s="16">
        <f t="shared" si="35"/>
        <v>0.61502688251060023</v>
      </c>
      <c r="U40" s="16">
        <f t="shared" si="35"/>
        <v>0.64394283976580535</v>
      </c>
      <c r="V40" s="16">
        <f t="shared" si="35"/>
        <v>0.6728587970210107</v>
      </c>
    </row>
    <row r="41" spans="1:22" x14ac:dyDescent="0.25">
      <c r="C41" s="33"/>
      <c r="D41" s="10">
        <v>9</v>
      </c>
      <c r="E41" s="15">
        <f t="shared" ref="E41:L41" si="36">E25</f>
        <v>0.8977339084109307</v>
      </c>
      <c r="F41" s="15">
        <f t="shared" si="36"/>
        <v>0.95291298280618475</v>
      </c>
      <c r="G41" s="15">
        <f t="shared" si="36"/>
        <v>1.0080920572014387</v>
      </c>
      <c r="H41" s="15">
        <f t="shared" si="36"/>
        <v>1.0632711315966925</v>
      </c>
      <c r="I41" s="15">
        <f t="shared" si="36"/>
        <v>1.1184502059919466</v>
      </c>
      <c r="J41" s="15">
        <f t="shared" si="36"/>
        <v>1.1736292803872004</v>
      </c>
      <c r="K41" s="15">
        <f t="shared" si="36"/>
        <v>1.2288083547824542</v>
      </c>
      <c r="L41" s="15">
        <f t="shared" si="36"/>
        <v>1.2839874291777085</v>
      </c>
      <c r="M41" s="34"/>
      <c r="N41" s="11">
        <v>9</v>
      </c>
      <c r="O41" s="16">
        <f t="shared" ref="O41:V41" si="37">O25</f>
        <v>0.46819615319038971</v>
      </c>
      <c r="P41" s="16">
        <f t="shared" si="37"/>
        <v>0.49697375658312987</v>
      </c>
      <c r="Q41" s="16">
        <f t="shared" si="37"/>
        <v>0.52575135997586986</v>
      </c>
      <c r="R41" s="16">
        <f t="shared" si="37"/>
        <v>0.55452896336861013</v>
      </c>
      <c r="S41" s="16">
        <f t="shared" si="37"/>
        <v>0.58330656676135018</v>
      </c>
      <c r="T41" s="16">
        <f t="shared" si="37"/>
        <v>0.61208417015409022</v>
      </c>
      <c r="U41" s="16">
        <f t="shared" si="37"/>
        <v>0.64086177354683027</v>
      </c>
      <c r="V41" s="16">
        <f t="shared" si="37"/>
        <v>0.66963937693957054</v>
      </c>
    </row>
    <row r="42" spans="1:22" x14ac:dyDescent="0.25">
      <c r="C42" s="33"/>
      <c r="D42" s="10">
        <v>10</v>
      </c>
      <c r="E42" s="15">
        <f t="shared" ref="E42:L42" si="38">E26</f>
        <v>0.88957269106174031</v>
      </c>
      <c r="F42" s="15">
        <f t="shared" si="38"/>
        <v>0.94425013750794662</v>
      </c>
      <c r="G42" s="15">
        <f t="shared" si="38"/>
        <v>0.99892758395415282</v>
      </c>
      <c r="H42" s="15">
        <f t="shared" si="38"/>
        <v>1.053605030400359</v>
      </c>
      <c r="I42" s="15">
        <f t="shared" si="38"/>
        <v>1.1082824768465651</v>
      </c>
      <c r="J42" s="15">
        <f t="shared" si="38"/>
        <v>1.1629599232927712</v>
      </c>
      <c r="K42" s="15">
        <f t="shared" si="38"/>
        <v>1.2176373697389773</v>
      </c>
      <c r="L42" s="15">
        <f t="shared" si="38"/>
        <v>1.2723148161851838</v>
      </c>
      <c r="M42" s="34"/>
      <c r="N42" s="11">
        <v>10</v>
      </c>
      <c r="O42" s="16">
        <f t="shared" ref="O42:V42" si="39">O26</f>
        <v>0.46596664769900692</v>
      </c>
      <c r="P42" s="16">
        <f t="shared" si="39"/>
        <v>0.49460721488511489</v>
      </c>
      <c r="Q42" s="16">
        <f t="shared" si="39"/>
        <v>0.52324778207122291</v>
      </c>
      <c r="R42" s="16">
        <f t="shared" si="39"/>
        <v>0.55188834925733099</v>
      </c>
      <c r="S42" s="16">
        <f t="shared" si="39"/>
        <v>0.58052891644343896</v>
      </c>
      <c r="T42" s="16">
        <f t="shared" si="39"/>
        <v>0.60916948362954693</v>
      </c>
      <c r="U42" s="16">
        <f t="shared" si="39"/>
        <v>0.63781005081565489</v>
      </c>
      <c r="V42" s="16">
        <f t="shared" si="39"/>
        <v>0.66645061800176297</v>
      </c>
    </row>
  </sheetData>
  <mergeCells count="16">
    <mergeCell ref="A1:B1"/>
    <mergeCell ref="A15:B15"/>
    <mergeCell ref="A26:B26"/>
    <mergeCell ref="A27:B27"/>
    <mergeCell ref="O30:V30"/>
    <mergeCell ref="E30:L30"/>
    <mergeCell ref="C32:C42"/>
    <mergeCell ref="M32:M42"/>
    <mergeCell ref="D1:V1"/>
    <mergeCell ref="N29:V29"/>
    <mergeCell ref="D29:L29"/>
    <mergeCell ref="A39:B39"/>
    <mergeCell ref="A40:B40"/>
    <mergeCell ref="A28:B28"/>
    <mergeCell ref="A12:B12"/>
    <mergeCell ref="A13:B1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DC746-45FC-4332-8010-B637920857F2}">
  <dimension ref="A1:V42"/>
  <sheetViews>
    <sheetView topLeftCell="J1" zoomScale="80" zoomScaleNormal="80" workbookViewId="0">
      <selection activeCell="O32" sqref="O32:V42"/>
    </sheetView>
  </sheetViews>
  <sheetFormatPr defaultRowHeight="13.8" x14ac:dyDescent="0.25"/>
  <cols>
    <col min="1" max="1" width="15.21875" style="13" customWidth="1"/>
    <col min="2" max="2" width="15.33203125" style="13" customWidth="1"/>
    <col min="3" max="16384" width="8.88671875" style="13"/>
  </cols>
  <sheetData>
    <row r="1" spans="1:22" x14ac:dyDescent="0.25">
      <c r="A1" s="32" t="s">
        <v>23</v>
      </c>
      <c r="B1" s="32"/>
      <c r="C1" s="17"/>
      <c r="D1" s="32" t="s">
        <v>8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x14ac:dyDescent="0.25">
      <c r="A2" s="12" t="s">
        <v>13</v>
      </c>
      <c r="B2" s="18" t="s">
        <v>24</v>
      </c>
      <c r="C2" s="9"/>
      <c r="D2" s="9"/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O2" s="9">
        <v>3</v>
      </c>
      <c r="P2" s="9">
        <v>4</v>
      </c>
      <c r="Q2" s="9">
        <v>5</v>
      </c>
      <c r="R2" s="9">
        <v>6</v>
      </c>
      <c r="S2" s="9">
        <v>7</v>
      </c>
      <c r="T2" s="9">
        <v>8</v>
      </c>
      <c r="U2" s="9">
        <v>9</v>
      </c>
      <c r="V2" s="9">
        <v>10</v>
      </c>
    </row>
    <row r="3" spans="1:22" x14ac:dyDescent="0.25">
      <c r="A3" s="9">
        <v>8</v>
      </c>
      <c r="B3" s="9">
        <f>Data!$B$24+Data!$B$24*0.03*Data!B13</f>
        <v>84.526162020000001</v>
      </c>
      <c r="C3" s="9"/>
      <c r="D3" s="9">
        <v>0</v>
      </c>
      <c r="E3" s="9">
        <f>(Data!$F$24)+(Data!$F$24)*E2/100*$A$27</f>
        <v>106.89185123</v>
      </c>
      <c r="F3" s="9">
        <f>(Data!$F$24)+(Data!$F$24)*F2/100*$A$27</f>
        <v>115.88580164</v>
      </c>
      <c r="G3" s="9">
        <f>(Data!$F$24)+(Data!$F$24)*G2/100*$A$27</f>
        <v>124.87975204999999</v>
      </c>
      <c r="H3" s="9">
        <f>(Data!$F$24)+(Data!$F$24)*H2/100*$A$27</f>
        <v>133.87370246</v>
      </c>
      <c r="I3" s="9">
        <f>(Data!$F$24)+(Data!$F$24)*I2/100*$A$27</f>
        <v>142.86765287</v>
      </c>
      <c r="J3" s="9">
        <f>(Data!$F$24)+(Data!$F$24)*J2/100*$A$27</f>
        <v>151.86160328</v>
      </c>
      <c r="K3" s="9">
        <f>(Data!$F$24)+(Data!$F$24)*K2/100*$A$27</f>
        <v>160.85555368999999</v>
      </c>
      <c r="L3" s="9">
        <f>(Data!$F$24)+(Data!$F$24)*L2/100*$A$27</f>
        <v>169.84950409999999</v>
      </c>
      <c r="N3" s="9">
        <v>0</v>
      </c>
      <c r="O3" s="9">
        <f>(Data!$F$24)+(Data!$F$24)*O2/100*$A$27</f>
        <v>106.89185123</v>
      </c>
      <c r="P3" s="9">
        <f>(Data!$F$24)+(Data!$F$24)*P2/100*$A$27</f>
        <v>115.88580164</v>
      </c>
      <c r="Q3" s="9">
        <f>(Data!$F$24)+(Data!$F$24)*Q2/100*$A$27</f>
        <v>124.87975204999999</v>
      </c>
      <c r="R3" s="9">
        <f>(Data!$F$24)+(Data!$F$24)*R2/100*$A$27</f>
        <v>133.87370246</v>
      </c>
      <c r="S3" s="9">
        <f>(Data!$F$24)+(Data!$F$24)*S2/100*$A$27</f>
        <v>142.86765287</v>
      </c>
      <c r="T3" s="9">
        <f>(Data!$F$24)+(Data!$F$24)*T2/100*$A$27</f>
        <v>151.86160328</v>
      </c>
      <c r="U3" s="9">
        <f>(Data!$F$24)+(Data!$F$24)*U2/100*$A$27</f>
        <v>160.85555368999999</v>
      </c>
      <c r="V3" s="9">
        <f>(Data!$F$24)+(Data!$F$24)*V2/100*$A$27</f>
        <v>169.84950409999999</v>
      </c>
    </row>
    <row r="4" spans="1:22" x14ac:dyDescent="0.25">
      <c r="A4" s="9">
        <v>7</v>
      </c>
      <c r="B4" s="9">
        <f>Data!$B$24+Data!$B$24*0.03*Data!B14</f>
        <v>85.367092139999997</v>
      </c>
      <c r="C4" s="9"/>
      <c r="D4" s="9">
        <v>1</v>
      </c>
      <c r="E4" s="9">
        <v>97.976292529999995</v>
      </c>
      <c r="F4" s="9">
        <v>103.99839004</v>
      </c>
      <c r="G4" s="9">
        <v>110.02048754999998</v>
      </c>
      <c r="H4" s="9">
        <v>116.04258505999999</v>
      </c>
      <c r="I4" s="9">
        <v>122.06468257</v>
      </c>
      <c r="J4" s="9">
        <v>128.08678007999998</v>
      </c>
      <c r="K4" s="9">
        <v>134.10887758999999</v>
      </c>
      <c r="L4" s="9">
        <v>140.1309751</v>
      </c>
      <c r="N4" s="9">
        <v>1</v>
      </c>
      <c r="O4" s="9">
        <v>97.976292529999995</v>
      </c>
      <c r="P4" s="9">
        <v>103.99839004</v>
      </c>
      <c r="Q4" s="9">
        <v>110.02048754999998</v>
      </c>
      <c r="R4" s="9">
        <v>116.04258505999999</v>
      </c>
      <c r="S4" s="9">
        <v>122.06468257</v>
      </c>
      <c r="T4" s="9">
        <v>128.08678007999998</v>
      </c>
      <c r="U4" s="9">
        <v>134.10887758999999</v>
      </c>
      <c r="V4" s="9">
        <v>140.1309751</v>
      </c>
    </row>
    <row r="5" spans="1:22" x14ac:dyDescent="0.25">
      <c r="A5" s="9">
        <v>6</v>
      </c>
      <c r="B5" s="9">
        <f>Data!$B$24+Data!$B$24*0.03*Data!B15</f>
        <v>86.279375160000001</v>
      </c>
      <c r="C5" s="9"/>
      <c r="D5" s="9">
        <v>2</v>
      </c>
      <c r="E5" s="9">
        <v>97.976292529999995</v>
      </c>
      <c r="F5" s="9">
        <v>103.99839004</v>
      </c>
      <c r="G5" s="9">
        <v>110.02048754999998</v>
      </c>
      <c r="H5" s="9">
        <v>116.04258505999999</v>
      </c>
      <c r="I5" s="9">
        <v>122.06468257</v>
      </c>
      <c r="J5" s="9">
        <v>128.08678007999998</v>
      </c>
      <c r="K5" s="9">
        <v>134.10887758999999</v>
      </c>
      <c r="L5" s="9">
        <v>140.1309751</v>
      </c>
      <c r="N5" s="9">
        <v>2</v>
      </c>
      <c r="O5" s="9">
        <v>97.976292529999995</v>
      </c>
      <c r="P5" s="9">
        <v>103.99839004</v>
      </c>
      <c r="Q5" s="9">
        <v>110.02048754999998</v>
      </c>
      <c r="R5" s="9">
        <v>116.04258505999999</v>
      </c>
      <c r="S5" s="9">
        <v>122.06468257</v>
      </c>
      <c r="T5" s="9">
        <v>128.08678007999998</v>
      </c>
      <c r="U5" s="9">
        <v>134.10887758999999</v>
      </c>
      <c r="V5" s="9">
        <v>140.1309751</v>
      </c>
    </row>
    <row r="6" spans="1:22" x14ac:dyDescent="0.25">
      <c r="A6" s="9">
        <v>5</v>
      </c>
      <c r="B6" s="9">
        <f>Data!$B$24+Data!$B$24*0.03*Data!B16</f>
        <v>87.271077059999996</v>
      </c>
      <c r="C6" s="9"/>
      <c r="D6" s="9">
        <v>3</v>
      </c>
      <c r="E6" s="9">
        <v>97.976292529999995</v>
      </c>
      <c r="F6" s="9">
        <v>103.99839004</v>
      </c>
      <c r="G6" s="9">
        <v>110.02048754999998</v>
      </c>
      <c r="H6" s="9">
        <v>116.04258505999999</v>
      </c>
      <c r="I6" s="9">
        <v>122.06468257</v>
      </c>
      <c r="J6" s="9">
        <v>128.08678007999998</v>
      </c>
      <c r="K6" s="9">
        <v>134.10887758999999</v>
      </c>
      <c r="L6" s="9">
        <v>140.1309751</v>
      </c>
      <c r="N6" s="9">
        <v>3</v>
      </c>
      <c r="O6" s="9">
        <v>97.976292529999995</v>
      </c>
      <c r="P6" s="9">
        <v>103.99839004</v>
      </c>
      <c r="Q6" s="9">
        <v>110.02048754999998</v>
      </c>
      <c r="R6" s="9">
        <v>116.04258505999999</v>
      </c>
      <c r="S6" s="9">
        <v>122.06468257</v>
      </c>
      <c r="T6" s="9">
        <v>128.08678007999998</v>
      </c>
      <c r="U6" s="9">
        <v>134.10887758999999</v>
      </c>
      <c r="V6" s="9">
        <v>140.1309751</v>
      </c>
    </row>
    <row r="7" spans="1:22" x14ac:dyDescent="0.25">
      <c r="A7" s="9">
        <v>4</v>
      </c>
      <c r="B7" s="9">
        <f>Data!$B$24+Data!$B$24*0.03*Data!B17</f>
        <v>88.350263819999995</v>
      </c>
      <c r="C7" s="9"/>
      <c r="D7" s="9">
        <v>4</v>
      </c>
      <c r="E7" s="9">
        <v>97.976292529999995</v>
      </c>
      <c r="F7" s="9">
        <v>103.99839004</v>
      </c>
      <c r="G7" s="9">
        <v>110.02048754999998</v>
      </c>
      <c r="H7" s="9">
        <v>116.04258505999999</v>
      </c>
      <c r="I7" s="9">
        <v>122.06468257</v>
      </c>
      <c r="J7" s="9">
        <v>128.08678007999998</v>
      </c>
      <c r="K7" s="9">
        <v>134.10887758999999</v>
      </c>
      <c r="L7" s="9">
        <v>140.1309751</v>
      </c>
      <c r="N7" s="9">
        <v>4</v>
      </c>
      <c r="O7" s="9">
        <v>97.976292529999995</v>
      </c>
      <c r="P7" s="9">
        <v>103.99839004</v>
      </c>
      <c r="Q7" s="9">
        <v>110.02048754999998</v>
      </c>
      <c r="R7" s="9">
        <v>116.04258505999999</v>
      </c>
      <c r="S7" s="9">
        <v>122.06468257</v>
      </c>
      <c r="T7" s="9">
        <v>128.08678007999998</v>
      </c>
      <c r="U7" s="9">
        <v>134.10887758999999</v>
      </c>
      <c r="V7" s="9">
        <v>140.1309751</v>
      </c>
    </row>
    <row r="8" spans="1:22" x14ac:dyDescent="0.25">
      <c r="A8" s="9">
        <v>3</v>
      </c>
      <c r="B8" s="9">
        <f>Data!$B$24+Data!$B$24*0.03*Data!B18</f>
        <v>89.526862800000004</v>
      </c>
      <c r="C8" s="9"/>
      <c r="D8" s="9">
        <v>5</v>
      </c>
      <c r="E8" s="9">
        <v>97.976292529999995</v>
      </c>
      <c r="F8" s="9">
        <v>103.99839004</v>
      </c>
      <c r="G8" s="9">
        <v>110.02048754999998</v>
      </c>
      <c r="H8" s="9">
        <v>116.04258505999999</v>
      </c>
      <c r="I8" s="9">
        <v>122.06468257</v>
      </c>
      <c r="J8" s="9">
        <v>128.08678007999998</v>
      </c>
      <c r="K8" s="9">
        <v>134.10887758999999</v>
      </c>
      <c r="L8" s="9">
        <v>140.1309751</v>
      </c>
      <c r="N8" s="9">
        <v>5</v>
      </c>
      <c r="O8" s="9">
        <v>97.976292529999995</v>
      </c>
      <c r="P8" s="9">
        <v>103.99839004</v>
      </c>
      <c r="Q8" s="9">
        <v>110.02048754999998</v>
      </c>
      <c r="R8" s="9">
        <v>116.04258505999999</v>
      </c>
      <c r="S8" s="9">
        <v>122.06468257</v>
      </c>
      <c r="T8" s="9">
        <v>128.08678007999998</v>
      </c>
      <c r="U8" s="9">
        <v>134.10887758999999</v>
      </c>
      <c r="V8" s="9">
        <v>140.1309751</v>
      </c>
    </row>
    <row r="9" spans="1:22" x14ac:dyDescent="0.25">
      <c r="A9" s="9">
        <v>2</v>
      </c>
      <c r="B9" s="9">
        <f>Data!$B$24+Data!$B$24*0.03*Data!B19</f>
        <v>90.811835459999998</v>
      </c>
      <c r="C9" s="9"/>
      <c r="D9" s="9">
        <v>6</v>
      </c>
      <c r="E9" s="9">
        <v>97.976292529999995</v>
      </c>
      <c r="F9" s="9">
        <v>103.99839004</v>
      </c>
      <c r="G9" s="9">
        <v>110.02048754999998</v>
      </c>
      <c r="H9" s="9">
        <v>116.04258505999999</v>
      </c>
      <c r="I9" s="9">
        <v>122.06468257</v>
      </c>
      <c r="J9" s="9">
        <v>128.08678007999998</v>
      </c>
      <c r="K9" s="9">
        <v>134.10887758999999</v>
      </c>
      <c r="L9" s="9">
        <v>140.1309751</v>
      </c>
      <c r="N9" s="9">
        <v>6</v>
      </c>
      <c r="O9" s="9">
        <v>97.976292529999995</v>
      </c>
      <c r="P9" s="9">
        <v>103.99839004</v>
      </c>
      <c r="Q9" s="9">
        <v>110.02048754999998</v>
      </c>
      <c r="R9" s="9">
        <v>116.04258505999999</v>
      </c>
      <c r="S9" s="9">
        <v>122.06468257</v>
      </c>
      <c r="T9" s="9">
        <v>128.08678007999998</v>
      </c>
      <c r="U9" s="9">
        <v>134.10887758999999</v>
      </c>
      <c r="V9" s="9">
        <v>140.1309751</v>
      </c>
    </row>
    <row r="10" spans="1:22" x14ac:dyDescent="0.25">
      <c r="A10" s="9">
        <v>1</v>
      </c>
      <c r="B10" s="9">
        <f>Data!$B$24+Data!$B$24*0.03*Data!B20</f>
        <v>92.217797820000001</v>
      </c>
      <c r="C10" s="9"/>
      <c r="D10" s="9">
        <v>7</v>
      </c>
      <c r="E10" s="9">
        <v>97.976292529999995</v>
      </c>
      <c r="F10" s="9">
        <v>103.99839004</v>
      </c>
      <c r="G10" s="9">
        <v>110.02048754999998</v>
      </c>
      <c r="H10" s="9">
        <v>116.04258505999999</v>
      </c>
      <c r="I10" s="9">
        <v>122.06468257</v>
      </c>
      <c r="J10" s="9">
        <v>128.08678007999998</v>
      </c>
      <c r="K10" s="9">
        <v>134.10887758999999</v>
      </c>
      <c r="L10" s="9">
        <v>140.1309751</v>
      </c>
      <c r="N10" s="9">
        <v>7</v>
      </c>
      <c r="O10" s="9">
        <v>97.976292529999995</v>
      </c>
      <c r="P10" s="9">
        <v>103.99839004</v>
      </c>
      <c r="Q10" s="9">
        <v>110.02048754999998</v>
      </c>
      <c r="R10" s="9">
        <v>116.04258505999999</v>
      </c>
      <c r="S10" s="9">
        <v>122.06468257</v>
      </c>
      <c r="T10" s="9">
        <v>128.08678007999998</v>
      </c>
      <c r="U10" s="9">
        <v>134.10887758999999</v>
      </c>
      <c r="V10" s="9">
        <v>140.1309751</v>
      </c>
    </row>
    <row r="11" spans="1:22" x14ac:dyDescent="0.25">
      <c r="A11" s="9">
        <v>0</v>
      </c>
      <c r="B11" s="9">
        <f>Data!$B$24+Data!$B$24*0.03*Data!B21</f>
        <v>93.758399999999995</v>
      </c>
      <c r="C11" s="9"/>
      <c r="D11" s="9">
        <v>8</v>
      </c>
      <c r="E11" s="9">
        <v>97.976292529999995</v>
      </c>
      <c r="F11" s="9">
        <v>103.99839004</v>
      </c>
      <c r="G11" s="9">
        <v>110.02048754999998</v>
      </c>
      <c r="H11" s="9">
        <v>116.04258505999999</v>
      </c>
      <c r="I11" s="9">
        <v>122.06468257</v>
      </c>
      <c r="J11" s="9">
        <v>128.08678007999998</v>
      </c>
      <c r="K11" s="9">
        <v>134.10887758999999</v>
      </c>
      <c r="L11" s="9">
        <v>140.1309751</v>
      </c>
      <c r="N11" s="9">
        <v>8</v>
      </c>
      <c r="O11" s="9">
        <v>97.976292529999995</v>
      </c>
      <c r="P11" s="9">
        <v>103.99839004</v>
      </c>
      <c r="Q11" s="9">
        <v>110.02048754999998</v>
      </c>
      <c r="R11" s="9">
        <v>116.04258505999999</v>
      </c>
      <c r="S11" s="9">
        <v>122.06468257</v>
      </c>
      <c r="T11" s="9">
        <v>128.08678007999998</v>
      </c>
      <c r="U11" s="9">
        <v>134.10887758999999</v>
      </c>
      <c r="V11" s="9">
        <v>140.1309751</v>
      </c>
    </row>
    <row r="12" spans="1:22" x14ac:dyDescent="0.25">
      <c r="A12" s="31" t="s">
        <v>25</v>
      </c>
      <c r="B12" s="31"/>
      <c r="C12" s="9"/>
      <c r="D12" s="9">
        <v>9</v>
      </c>
      <c r="E12" s="9">
        <v>97.976292529999995</v>
      </c>
      <c r="F12" s="9">
        <v>103.99839004</v>
      </c>
      <c r="G12" s="9">
        <v>110.02048754999998</v>
      </c>
      <c r="H12" s="9">
        <v>116.04258505999999</v>
      </c>
      <c r="I12" s="9">
        <v>122.06468257</v>
      </c>
      <c r="J12" s="9">
        <v>128.08678007999998</v>
      </c>
      <c r="K12" s="9">
        <v>134.10887758999999</v>
      </c>
      <c r="L12" s="9">
        <v>140.1309751</v>
      </c>
      <c r="N12" s="9">
        <v>9</v>
      </c>
      <c r="O12" s="9">
        <v>97.976292529999995</v>
      </c>
      <c r="P12" s="9">
        <v>103.99839004</v>
      </c>
      <c r="Q12" s="9">
        <v>110.02048754999998</v>
      </c>
      <c r="R12" s="9">
        <v>116.04258505999999</v>
      </c>
      <c r="S12" s="9">
        <v>122.06468257</v>
      </c>
      <c r="T12" s="9">
        <v>128.08678007999998</v>
      </c>
      <c r="U12" s="9">
        <v>134.10887758999999</v>
      </c>
      <c r="V12" s="9">
        <v>140.1309751</v>
      </c>
    </row>
    <row r="13" spans="1:22" x14ac:dyDescent="0.25">
      <c r="A13" s="32">
        <v>92.217797820000001</v>
      </c>
      <c r="B13" s="32"/>
      <c r="C13" s="9"/>
      <c r="D13" s="9">
        <v>10</v>
      </c>
      <c r="E13" s="9">
        <v>97.976292529999995</v>
      </c>
      <c r="F13" s="9">
        <v>103.99839004</v>
      </c>
      <c r="G13" s="9">
        <v>110.02048754999998</v>
      </c>
      <c r="H13" s="9">
        <v>116.04258505999999</v>
      </c>
      <c r="I13" s="9">
        <v>122.06468257</v>
      </c>
      <c r="J13" s="9">
        <v>128.08678007999998</v>
      </c>
      <c r="K13" s="9">
        <v>134.10887758999999</v>
      </c>
      <c r="L13" s="9">
        <v>140.1309751</v>
      </c>
      <c r="N13" s="9">
        <v>10</v>
      </c>
      <c r="O13" s="9">
        <v>97.976292529999995</v>
      </c>
      <c r="P13" s="9">
        <v>103.99839004</v>
      </c>
      <c r="Q13" s="9">
        <v>110.02048754999998</v>
      </c>
      <c r="R13" s="9">
        <v>116.04258505999999</v>
      </c>
      <c r="S13" s="9">
        <v>122.06468257</v>
      </c>
      <c r="T13" s="9">
        <v>128.08678007999998</v>
      </c>
      <c r="U13" s="9">
        <v>134.10887758999999</v>
      </c>
      <c r="V13" s="9">
        <v>140.1309751</v>
      </c>
    </row>
    <row r="14" spans="1:22" x14ac:dyDescent="0.25">
      <c r="A14" s="19"/>
      <c r="B14" s="19"/>
    </row>
    <row r="15" spans="1:22" x14ac:dyDescent="0.25">
      <c r="A15" s="32" t="s">
        <v>17</v>
      </c>
      <c r="B15" s="32"/>
      <c r="C15" s="9"/>
      <c r="D15" s="9"/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O15" s="9">
        <v>3</v>
      </c>
      <c r="P15" s="9">
        <v>4</v>
      </c>
      <c r="Q15" s="9">
        <v>5</v>
      </c>
      <c r="R15" s="9">
        <v>6</v>
      </c>
      <c r="S15" s="9">
        <v>7</v>
      </c>
      <c r="T15" s="9">
        <v>8</v>
      </c>
      <c r="U15" s="9">
        <v>9</v>
      </c>
      <c r="V15" s="9">
        <v>10</v>
      </c>
    </row>
    <row r="16" spans="1:22" x14ac:dyDescent="0.25">
      <c r="A16" s="12" t="s">
        <v>13</v>
      </c>
      <c r="B16" s="18" t="s">
        <v>24</v>
      </c>
      <c r="D16" s="9">
        <v>0</v>
      </c>
      <c r="E16" s="13">
        <f t="shared" ref="E16:L16" si="0">E3/(1+$D$16/100)/$A$13</f>
        <v>1.1591238758340585</v>
      </c>
      <c r="F16" s="13">
        <f t="shared" si="0"/>
        <v>1.2566533183344673</v>
      </c>
      <c r="G16" s="13">
        <f t="shared" si="0"/>
        <v>1.3541827608348758</v>
      </c>
      <c r="H16" s="13">
        <f t="shared" si="0"/>
        <v>1.4517122033352845</v>
      </c>
      <c r="I16" s="13">
        <f t="shared" si="0"/>
        <v>1.5492416458356932</v>
      </c>
      <c r="J16" s="13">
        <f t="shared" si="0"/>
        <v>1.6467710883361018</v>
      </c>
      <c r="K16" s="13">
        <f t="shared" si="0"/>
        <v>1.7443005308365105</v>
      </c>
      <c r="L16" s="13">
        <f t="shared" si="0"/>
        <v>1.841829973336919</v>
      </c>
      <c r="N16" s="9">
        <v>0</v>
      </c>
      <c r="O16" s="13">
        <f>O3/(2+$D$16/100)/$A$13</f>
        <v>0.57956193791702926</v>
      </c>
      <c r="P16" s="13">
        <f t="shared" ref="P16:U16" si="1">P3/(2+$D$16/100)/$A$13</f>
        <v>0.62832665916723363</v>
      </c>
      <c r="Q16" s="13">
        <f t="shared" si="1"/>
        <v>0.67709138041743788</v>
      </c>
      <c r="R16" s="13">
        <f t="shared" si="1"/>
        <v>0.72585610166764225</v>
      </c>
      <c r="S16" s="13">
        <f t="shared" si="1"/>
        <v>0.77462082291784662</v>
      </c>
      <c r="T16" s="13">
        <f t="shared" si="1"/>
        <v>0.82338554416805088</v>
      </c>
      <c r="U16" s="13">
        <f t="shared" si="1"/>
        <v>0.87215026541825524</v>
      </c>
      <c r="V16" s="13">
        <f>V3/(2+$D$16/100)/$A$13</f>
        <v>0.9209149866684595</v>
      </c>
    </row>
    <row r="17" spans="1:22" x14ac:dyDescent="0.25">
      <c r="A17" s="9">
        <v>8</v>
      </c>
      <c r="B17" s="19">
        <v>7.5361000000000002</v>
      </c>
      <c r="D17" s="9">
        <v>1</v>
      </c>
      <c r="E17" s="13">
        <f t="shared" ref="E17:E26" si="2">E4/(1+D17/100)/$A$13</f>
        <v>1.0519252521847173</v>
      </c>
      <c r="F17" s="13">
        <f t="shared" ref="F17:F26" si="3">F4/(1+D17/100)/$A$13</f>
        <v>1.1165816734301732</v>
      </c>
      <c r="G17" s="13">
        <f t="shared" ref="G17:G26" si="4">G4/(1+D17/100)/$A$13</f>
        <v>1.1812380946756291</v>
      </c>
      <c r="H17" s="13">
        <f t="shared" ref="H17:H26" si="5">H4/(1+D17/100)/$A$13</f>
        <v>1.2458945159210852</v>
      </c>
      <c r="I17" s="13">
        <f t="shared" ref="I17:I26" si="6">I4/(1+D17/100)/$A$13</f>
        <v>1.3105509371665416</v>
      </c>
      <c r="J17" s="13">
        <f t="shared" ref="J17:J26" si="7">J4/(1+D17/100)/$A$13</f>
        <v>1.3752073584119973</v>
      </c>
      <c r="K17" s="13">
        <f t="shared" ref="K17:K26" si="8">K4/(1+D17/100)/$A$13</f>
        <v>1.4398637796574534</v>
      </c>
      <c r="L17" s="13">
        <f t="shared" ref="L17:L26" si="9">L4/(1+D17/100)/$A$13</f>
        <v>1.5045202009029097</v>
      </c>
      <c r="N17" s="9">
        <v>1</v>
      </c>
      <c r="O17" s="13">
        <f>O4/(2+N17/100)/$A$13</f>
        <v>0.52857935557540525</v>
      </c>
      <c r="P17" s="13">
        <f>P4/(2+N17/100)/$A$13</f>
        <v>0.56106840306690309</v>
      </c>
      <c r="Q17" s="13">
        <f>Q4/(2+N17/100)/$A$13</f>
        <v>0.59355745055840081</v>
      </c>
      <c r="R17" s="13">
        <f>R4/(2+N17/100)/$A$13</f>
        <v>0.62604649804989865</v>
      </c>
      <c r="S17" s="13">
        <f>S4/(2+N17/100)/$A$13</f>
        <v>0.65853554554139648</v>
      </c>
      <c r="T17" s="13">
        <f>T4/(2+N17/100)/$A$13</f>
        <v>0.69102459303289421</v>
      </c>
      <c r="U17" s="13">
        <f>U4/(2+N17/100)/$A$13</f>
        <v>0.72351364052439204</v>
      </c>
      <c r="V17" s="13">
        <f>V4/(2+N17/100)/$A$13</f>
        <v>0.75600268801588988</v>
      </c>
    </row>
    <row r="18" spans="1:22" x14ac:dyDescent="0.25">
      <c r="A18" s="9">
        <v>7</v>
      </c>
      <c r="B18" s="19">
        <v>7.9427000000000003</v>
      </c>
      <c r="D18" s="9">
        <v>2</v>
      </c>
      <c r="E18" s="13">
        <f t="shared" si="2"/>
        <v>1.0416122595162396</v>
      </c>
      <c r="F18" s="13">
        <f t="shared" si="3"/>
        <v>1.1056347942788971</v>
      </c>
      <c r="G18" s="13">
        <f t="shared" si="4"/>
        <v>1.1696573290415544</v>
      </c>
      <c r="H18" s="13">
        <f t="shared" si="5"/>
        <v>1.2336798638042119</v>
      </c>
      <c r="I18" s="13">
        <f t="shared" si="6"/>
        <v>1.2977023985668694</v>
      </c>
      <c r="J18" s="13">
        <f t="shared" si="7"/>
        <v>1.3617249333295267</v>
      </c>
      <c r="K18" s="13">
        <f t="shared" si="8"/>
        <v>1.425747468092184</v>
      </c>
      <c r="L18" s="13">
        <f t="shared" si="9"/>
        <v>1.4897700028548417</v>
      </c>
      <c r="N18" s="9">
        <v>2</v>
      </c>
      <c r="O18" s="13">
        <f t="shared" ref="O18:O26" si="10">O5/(2+N18/100)/$A$13</f>
        <v>0.52596262609235866</v>
      </c>
      <c r="P18" s="13">
        <f t="shared" ref="P18:P26" si="11">P5/(2+N18/100)/$A$13</f>
        <v>0.55829083671508661</v>
      </c>
      <c r="Q18" s="13">
        <f t="shared" ref="Q18:Q26" si="12">Q5/(2+N18/100)/$A$13</f>
        <v>0.59061904733781456</v>
      </c>
      <c r="R18" s="13">
        <f t="shared" ref="R18:R26" si="13">R5/(2+N18/100)/$A$13</f>
        <v>0.62294725796054262</v>
      </c>
      <c r="S18" s="13">
        <f t="shared" ref="S18:S26" si="14">S5/(2+N18/100)/$A$13</f>
        <v>0.65527546858327079</v>
      </c>
      <c r="T18" s="13">
        <f t="shared" ref="T18:T26" si="15">T5/(2+N18/100)/$A$13</f>
        <v>0.68760367920599863</v>
      </c>
      <c r="U18" s="13">
        <f t="shared" ref="U18:U26" si="16">U5/(2+N18/100)/$A$13</f>
        <v>0.71993188982872669</v>
      </c>
      <c r="V18" s="13">
        <f t="shared" ref="V18:V26" si="17">V5/(2+N18/100)/$A$13</f>
        <v>0.75226010045145486</v>
      </c>
    </row>
    <row r="19" spans="1:22" x14ac:dyDescent="0.25">
      <c r="A19" s="9">
        <v>6</v>
      </c>
      <c r="B19" s="19">
        <v>8.3838000000000008</v>
      </c>
      <c r="D19" s="9">
        <v>3</v>
      </c>
      <c r="E19" s="13">
        <f t="shared" si="2"/>
        <v>1.0314995191325866</v>
      </c>
      <c r="F19" s="13">
        <f t="shared" si="3"/>
        <v>1.09490047588784</v>
      </c>
      <c r="G19" s="13">
        <f t="shared" si="4"/>
        <v>1.1583014326430927</v>
      </c>
      <c r="H19" s="13">
        <f t="shared" si="5"/>
        <v>1.2217023893983459</v>
      </c>
      <c r="I19" s="13">
        <f t="shared" si="6"/>
        <v>1.2851033461535988</v>
      </c>
      <c r="J19" s="13">
        <f t="shared" si="7"/>
        <v>1.3485043029088517</v>
      </c>
      <c r="K19" s="13">
        <f t="shared" si="8"/>
        <v>1.4119052596641049</v>
      </c>
      <c r="L19" s="13">
        <f t="shared" si="9"/>
        <v>1.4753062164193578</v>
      </c>
      <c r="N19" s="9">
        <v>3</v>
      </c>
      <c r="O19" s="13">
        <f t="shared" si="10"/>
        <v>0.52337167719535194</v>
      </c>
      <c r="P19" s="13">
        <f t="shared" si="11"/>
        <v>0.55554063554900257</v>
      </c>
      <c r="Q19" s="13">
        <f t="shared" si="12"/>
        <v>0.58770959390265309</v>
      </c>
      <c r="R19" s="13">
        <f t="shared" si="13"/>
        <v>0.61987855225630362</v>
      </c>
      <c r="S19" s="13">
        <f t="shared" si="14"/>
        <v>0.65204751060995425</v>
      </c>
      <c r="T19" s="13">
        <f t="shared" si="15"/>
        <v>0.68421646896360466</v>
      </c>
      <c r="U19" s="13">
        <f t="shared" si="16"/>
        <v>0.71638542731725519</v>
      </c>
      <c r="V19" s="13">
        <f t="shared" si="17"/>
        <v>0.74855438567090582</v>
      </c>
    </row>
    <row r="20" spans="1:22" x14ac:dyDescent="0.25">
      <c r="A20" s="9">
        <v>5</v>
      </c>
      <c r="B20" s="19">
        <v>8.8633000000000006</v>
      </c>
      <c r="D20" s="9">
        <v>4</v>
      </c>
      <c r="E20" s="13">
        <f t="shared" si="2"/>
        <v>1.0215812545255427</v>
      </c>
      <c r="F20" s="13">
        <f t="shared" si="3"/>
        <v>1.0843725866966107</v>
      </c>
      <c r="G20" s="13">
        <f t="shared" si="4"/>
        <v>1.1471639188676783</v>
      </c>
      <c r="H20" s="13">
        <f t="shared" si="5"/>
        <v>1.2099552510387463</v>
      </c>
      <c r="I20" s="13">
        <f t="shared" si="6"/>
        <v>1.2727465832098142</v>
      </c>
      <c r="J20" s="13">
        <f t="shared" si="7"/>
        <v>1.335537915380882</v>
      </c>
      <c r="K20" s="13">
        <f t="shared" si="8"/>
        <v>1.3983292475519498</v>
      </c>
      <c r="L20" s="13">
        <f t="shared" si="9"/>
        <v>1.461120579723018</v>
      </c>
      <c r="N20" s="9">
        <v>4</v>
      </c>
      <c r="O20" s="13">
        <f t="shared" si="10"/>
        <v>0.5208061297581198</v>
      </c>
      <c r="P20" s="13">
        <f t="shared" si="11"/>
        <v>0.55281739713944855</v>
      </c>
      <c r="Q20" s="13">
        <f t="shared" si="12"/>
        <v>0.5848286645207772</v>
      </c>
      <c r="R20" s="13">
        <f t="shared" si="13"/>
        <v>0.61683993190210595</v>
      </c>
      <c r="S20" s="13">
        <f t="shared" si="14"/>
        <v>0.64885119928343471</v>
      </c>
      <c r="T20" s="13">
        <f t="shared" si="15"/>
        <v>0.68086246666476335</v>
      </c>
      <c r="U20" s="13">
        <f t="shared" si="16"/>
        <v>0.712873734046092</v>
      </c>
      <c r="V20" s="13">
        <f t="shared" si="17"/>
        <v>0.74488500142742087</v>
      </c>
    </row>
    <row r="21" spans="1:22" x14ac:dyDescent="0.25">
      <c r="A21" s="9">
        <v>4</v>
      </c>
      <c r="B21" s="19">
        <v>9.3850999999999996</v>
      </c>
      <c r="D21" s="9">
        <v>5</v>
      </c>
      <c r="E21" s="13">
        <f t="shared" si="2"/>
        <v>1.011851909244347</v>
      </c>
      <c r="F21" s="13">
        <f t="shared" si="3"/>
        <v>1.0740452287280715</v>
      </c>
      <c r="G21" s="13">
        <f t="shared" si="4"/>
        <v>1.1362385482117956</v>
      </c>
      <c r="H21" s="13">
        <f t="shared" si="5"/>
        <v>1.1984318676955201</v>
      </c>
      <c r="I21" s="13">
        <f t="shared" si="6"/>
        <v>1.2606251871792447</v>
      </c>
      <c r="J21" s="13">
        <f t="shared" si="7"/>
        <v>1.3228185066629687</v>
      </c>
      <c r="K21" s="13">
        <f t="shared" si="8"/>
        <v>1.3850118261466933</v>
      </c>
      <c r="L21" s="13">
        <f t="shared" si="9"/>
        <v>1.4472051456304176</v>
      </c>
      <c r="N21" s="9">
        <v>5</v>
      </c>
      <c r="O21" s="13">
        <f t="shared" si="10"/>
        <v>0.51826561205198274</v>
      </c>
      <c r="P21" s="13">
        <f t="shared" si="11"/>
        <v>0.55012072690950009</v>
      </c>
      <c r="Q21" s="13">
        <f t="shared" si="12"/>
        <v>0.58197584176701733</v>
      </c>
      <c r="R21" s="13">
        <f t="shared" si="13"/>
        <v>0.6138309566245348</v>
      </c>
      <c r="S21" s="13">
        <f t="shared" si="14"/>
        <v>0.64568607148205215</v>
      </c>
      <c r="T21" s="13">
        <f t="shared" si="15"/>
        <v>0.67754118633956939</v>
      </c>
      <c r="U21" s="13">
        <f t="shared" si="16"/>
        <v>0.70939630119708685</v>
      </c>
      <c r="V21" s="13">
        <f t="shared" si="17"/>
        <v>0.74125141605460432</v>
      </c>
    </row>
    <row r="22" spans="1:22" x14ac:dyDescent="0.25">
      <c r="A22" s="9">
        <v>3</v>
      </c>
      <c r="B22" s="19">
        <v>9.9540000000000006</v>
      </c>
      <c r="D22" s="9">
        <v>6</v>
      </c>
      <c r="E22" s="13">
        <f t="shared" si="2"/>
        <v>1.0023061365156267</v>
      </c>
      <c r="F22" s="13">
        <f t="shared" si="3"/>
        <v>1.0639127265702595</v>
      </c>
      <c r="G22" s="13">
        <f t="shared" si="4"/>
        <v>1.125519316624892</v>
      </c>
      <c r="H22" s="13">
        <f t="shared" si="5"/>
        <v>1.1871259066795246</v>
      </c>
      <c r="I22" s="13">
        <f t="shared" si="6"/>
        <v>1.2487324967341573</v>
      </c>
      <c r="J22" s="13">
        <f t="shared" si="7"/>
        <v>1.3103390867887899</v>
      </c>
      <c r="K22" s="13">
        <f t="shared" si="8"/>
        <v>1.3719456768434224</v>
      </c>
      <c r="L22" s="13">
        <f t="shared" si="9"/>
        <v>1.4335522668980554</v>
      </c>
      <c r="N22" s="9">
        <v>6</v>
      </c>
      <c r="O22" s="13">
        <f t="shared" si="10"/>
        <v>0.51574975956629332</v>
      </c>
      <c r="P22" s="13">
        <f t="shared" si="11"/>
        <v>0.54745023794392</v>
      </c>
      <c r="Q22" s="13">
        <f t="shared" si="12"/>
        <v>0.57915071632154635</v>
      </c>
      <c r="R22" s="13">
        <f t="shared" si="13"/>
        <v>0.61085119469917293</v>
      </c>
      <c r="S22" s="13">
        <f t="shared" si="14"/>
        <v>0.64255167307679939</v>
      </c>
      <c r="T22" s="13">
        <f t="shared" si="15"/>
        <v>0.67425215145442585</v>
      </c>
      <c r="U22" s="13">
        <f t="shared" si="16"/>
        <v>0.70595262983205243</v>
      </c>
      <c r="V22" s="13">
        <f t="shared" si="17"/>
        <v>0.73765310820967889</v>
      </c>
    </row>
    <row r="23" spans="1:22" x14ac:dyDescent="0.25">
      <c r="A23" s="9">
        <v>2</v>
      </c>
      <c r="B23" s="19">
        <v>10.5753</v>
      </c>
      <c r="D23" s="9">
        <v>7</v>
      </c>
      <c r="E23" s="13">
        <f t="shared" si="2"/>
        <v>0.99293878944538716</v>
      </c>
      <c r="F23" s="13">
        <f t="shared" si="3"/>
        <v>1.0539696169761448</v>
      </c>
      <c r="G23" s="13">
        <f t="shared" si="4"/>
        <v>1.1150004445069022</v>
      </c>
      <c r="H23" s="13">
        <f t="shared" si="5"/>
        <v>1.17603127203766</v>
      </c>
      <c r="I23" s="13">
        <f t="shared" si="6"/>
        <v>1.2370620995684176</v>
      </c>
      <c r="J23" s="13">
        <f t="shared" si="7"/>
        <v>1.298092927099175</v>
      </c>
      <c r="K23" s="13">
        <f t="shared" si="8"/>
        <v>1.3591237546299326</v>
      </c>
      <c r="L23" s="13">
        <f t="shared" si="9"/>
        <v>1.4201545821606905</v>
      </c>
      <c r="N23" s="9">
        <v>7</v>
      </c>
      <c r="O23" s="13">
        <f t="shared" si="10"/>
        <v>0.51325821483408907</v>
      </c>
      <c r="P23" s="13">
        <f t="shared" si="11"/>
        <v>0.54480555080409421</v>
      </c>
      <c r="Q23" s="13">
        <f t="shared" si="12"/>
        <v>0.57635288677409935</v>
      </c>
      <c r="R23" s="13">
        <f t="shared" si="13"/>
        <v>0.60790022274410449</v>
      </c>
      <c r="S23" s="13">
        <f t="shared" si="14"/>
        <v>0.63944755871410963</v>
      </c>
      <c r="T23" s="13">
        <f t="shared" si="15"/>
        <v>0.67099489468411466</v>
      </c>
      <c r="U23" s="13">
        <f t="shared" si="16"/>
        <v>0.7025422306541198</v>
      </c>
      <c r="V23" s="13">
        <f t="shared" si="17"/>
        <v>0.73408956662412506</v>
      </c>
    </row>
    <row r="24" spans="1:22" x14ac:dyDescent="0.25">
      <c r="A24" s="9">
        <v>1</v>
      </c>
      <c r="B24" s="19">
        <v>11.255100000000001</v>
      </c>
      <c r="D24" s="9">
        <v>8</v>
      </c>
      <c r="E24" s="13">
        <f t="shared" si="2"/>
        <v>0.98374491176533729</v>
      </c>
      <c r="F24" s="13">
        <f t="shared" si="3"/>
        <v>1.0442106390411807</v>
      </c>
      <c r="G24" s="13">
        <f t="shared" si="4"/>
        <v>1.1046763663170236</v>
      </c>
      <c r="H24" s="13">
        <f t="shared" si="5"/>
        <v>1.1651420935928667</v>
      </c>
      <c r="I24" s="13">
        <f t="shared" si="6"/>
        <v>1.22560782086871</v>
      </c>
      <c r="J24" s="13">
        <f t="shared" si="7"/>
        <v>1.2860735481445529</v>
      </c>
      <c r="K24" s="13">
        <f t="shared" si="8"/>
        <v>1.3465392754203962</v>
      </c>
      <c r="L24" s="13">
        <f t="shared" si="9"/>
        <v>1.4070050026962395</v>
      </c>
      <c r="N24" s="9">
        <v>8</v>
      </c>
      <c r="O24" s="13">
        <f t="shared" si="10"/>
        <v>0.51079062726277136</v>
      </c>
      <c r="P24" s="13">
        <f t="shared" si="11"/>
        <v>0.54218629334830537</v>
      </c>
      <c r="Q24" s="13">
        <f t="shared" si="12"/>
        <v>0.57358195943383916</v>
      </c>
      <c r="R24" s="13">
        <f t="shared" si="13"/>
        <v>0.60497762551937317</v>
      </c>
      <c r="S24" s="13">
        <f t="shared" si="14"/>
        <v>0.63637329160490708</v>
      </c>
      <c r="T24" s="13">
        <f t="shared" si="15"/>
        <v>0.66776895769044098</v>
      </c>
      <c r="U24" s="13">
        <f t="shared" si="16"/>
        <v>0.69916462377597488</v>
      </c>
      <c r="V24" s="13">
        <f t="shared" si="17"/>
        <v>0.730560289861509</v>
      </c>
    </row>
    <row r="25" spans="1:22" x14ac:dyDescent="0.25">
      <c r="A25" s="9">
        <v>0</v>
      </c>
      <c r="B25" s="19">
        <v>12</v>
      </c>
      <c r="D25" s="9">
        <v>9</v>
      </c>
      <c r="E25" s="13">
        <f t="shared" si="2"/>
        <v>0.97471972908859106</v>
      </c>
      <c r="F25" s="13">
        <f t="shared" si="3"/>
        <v>1.0346307249215367</v>
      </c>
      <c r="G25" s="13">
        <f t="shared" si="4"/>
        <v>1.0945417207544821</v>
      </c>
      <c r="H25" s="13">
        <f t="shared" si="5"/>
        <v>1.1544527165874277</v>
      </c>
      <c r="I25" s="13">
        <f t="shared" si="6"/>
        <v>1.2143637124203732</v>
      </c>
      <c r="J25" s="13">
        <f t="shared" si="7"/>
        <v>1.2742747082533186</v>
      </c>
      <c r="K25" s="13">
        <f t="shared" si="8"/>
        <v>1.3341857040862641</v>
      </c>
      <c r="L25" s="13">
        <f t="shared" si="9"/>
        <v>1.3940966999192099</v>
      </c>
      <c r="N25" s="9">
        <v>9</v>
      </c>
      <c r="O25" s="13">
        <f t="shared" si="10"/>
        <v>0.50834665296964809</v>
      </c>
      <c r="P25" s="13">
        <f t="shared" si="11"/>
        <v>0.53959210055716522</v>
      </c>
      <c r="Q25" s="13">
        <f t="shared" si="12"/>
        <v>0.57083754814468213</v>
      </c>
      <c r="R25" s="13">
        <f t="shared" si="13"/>
        <v>0.60208299573219926</v>
      </c>
      <c r="S25" s="13">
        <f t="shared" si="14"/>
        <v>0.63332844331971627</v>
      </c>
      <c r="T25" s="13">
        <f t="shared" si="15"/>
        <v>0.66457389090723318</v>
      </c>
      <c r="U25" s="13">
        <f t="shared" si="16"/>
        <v>0.69581933849475031</v>
      </c>
      <c r="V25" s="13">
        <f t="shared" si="17"/>
        <v>0.72706478608226743</v>
      </c>
    </row>
    <row r="26" spans="1:22" x14ac:dyDescent="0.25">
      <c r="A26" s="31" t="s">
        <v>25</v>
      </c>
      <c r="B26" s="31"/>
      <c r="D26" s="9">
        <v>10</v>
      </c>
      <c r="E26" s="13">
        <f t="shared" si="2"/>
        <v>0.96585864064233118</v>
      </c>
      <c r="F26" s="13">
        <f t="shared" si="3"/>
        <v>1.0252249910586135</v>
      </c>
      <c r="G26" s="13">
        <f t="shared" si="4"/>
        <v>1.0845913414748958</v>
      </c>
      <c r="H26" s="13">
        <f t="shared" si="5"/>
        <v>1.1439576918911782</v>
      </c>
      <c r="I26" s="13">
        <f t="shared" si="6"/>
        <v>1.2033240423074607</v>
      </c>
      <c r="J26" s="13">
        <f t="shared" si="7"/>
        <v>1.2626903927237429</v>
      </c>
      <c r="K26" s="13">
        <f t="shared" si="8"/>
        <v>1.3220567431400252</v>
      </c>
      <c r="L26" s="13">
        <f t="shared" si="9"/>
        <v>1.3814230935563079</v>
      </c>
      <c r="N26" s="9">
        <v>10</v>
      </c>
      <c r="O26" s="13">
        <f t="shared" si="10"/>
        <v>0.50592595462217349</v>
      </c>
      <c r="P26" s="13">
        <f t="shared" si="11"/>
        <v>0.53702261436403576</v>
      </c>
      <c r="Q26" s="13">
        <f t="shared" si="12"/>
        <v>0.5681192741058978</v>
      </c>
      <c r="R26" s="13">
        <f t="shared" si="13"/>
        <v>0.59921593384776006</v>
      </c>
      <c r="S26" s="13">
        <f t="shared" si="14"/>
        <v>0.63031259358962233</v>
      </c>
      <c r="T26" s="13">
        <f t="shared" si="15"/>
        <v>0.66140925333148437</v>
      </c>
      <c r="U26" s="13">
        <f t="shared" si="16"/>
        <v>0.69250591307334664</v>
      </c>
      <c r="V26" s="13">
        <f t="shared" si="17"/>
        <v>0.72360257281520879</v>
      </c>
    </row>
    <row r="27" spans="1:22" x14ac:dyDescent="0.25">
      <c r="A27" s="32">
        <v>11.255100000000001</v>
      </c>
      <c r="B27" s="32"/>
    </row>
    <row r="28" spans="1:22" x14ac:dyDescent="0.25">
      <c r="A28" s="9"/>
      <c r="B28" s="19"/>
    </row>
    <row r="29" spans="1:22" x14ac:dyDescent="0.25">
      <c r="A29" s="9"/>
      <c r="B29" s="19"/>
      <c r="D29" s="36" t="s">
        <v>15</v>
      </c>
      <c r="E29" s="36"/>
      <c r="F29" s="36"/>
      <c r="G29" s="36"/>
      <c r="H29" s="36"/>
      <c r="I29" s="36"/>
      <c r="J29" s="36"/>
      <c r="K29" s="36"/>
      <c r="L29" s="36"/>
      <c r="M29" s="14"/>
      <c r="N29" s="35" t="s">
        <v>16</v>
      </c>
      <c r="O29" s="35"/>
      <c r="P29" s="35"/>
      <c r="Q29" s="35"/>
      <c r="R29" s="35"/>
      <c r="S29" s="35"/>
      <c r="T29" s="35"/>
      <c r="U29" s="35"/>
      <c r="V29" s="35"/>
    </row>
    <row r="30" spans="1:22" x14ac:dyDescent="0.25">
      <c r="A30" s="9"/>
      <c r="B30" s="19"/>
      <c r="E30" s="38" t="s">
        <v>20</v>
      </c>
      <c r="F30" s="38"/>
      <c r="G30" s="38"/>
      <c r="H30" s="38"/>
      <c r="I30" s="38"/>
      <c r="J30" s="38"/>
      <c r="K30" s="38"/>
      <c r="L30" s="38"/>
      <c r="M30" s="14"/>
      <c r="O30" s="37" t="s">
        <v>21</v>
      </c>
      <c r="P30" s="37"/>
      <c r="Q30" s="37"/>
      <c r="R30" s="37"/>
      <c r="S30" s="37"/>
      <c r="T30" s="37"/>
      <c r="U30" s="37"/>
      <c r="V30" s="37"/>
    </row>
    <row r="31" spans="1:22" x14ac:dyDescent="0.25">
      <c r="A31" s="9"/>
      <c r="B31" s="19"/>
      <c r="D31" s="15"/>
      <c r="E31" s="15">
        <v>3</v>
      </c>
      <c r="F31" s="15">
        <v>4</v>
      </c>
      <c r="G31" s="15">
        <v>5</v>
      </c>
      <c r="H31" s="15">
        <v>6</v>
      </c>
      <c r="I31" s="15">
        <v>7</v>
      </c>
      <c r="J31" s="15">
        <v>8</v>
      </c>
      <c r="K31" s="15">
        <v>9</v>
      </c>
      <c r="L31" s="15">
        <v>10</v>
      </c>
      <c r="M31" s="14"/>
      <c r="N31" s="16"/>
      <c r="O31" s="16">
        <v>3</v>
      </c>
      <c r="P31" s="16">
        <v>4</v>
      </c>
      <c r="Q31" s="16">
        <v>5</v>
      </c>
      <c r="R31" s="16">
        <v>6</v>
      </c>
      <c r="S31" s="16">
        <v>7</v>
      </c>
      <c r="T31" s="16">
        <v>8</v>
      </c>
      <c r="U31" s="16">
        <v>9</v>
      </c>
      <c r="V31" s="16">
        <v>10</v>
      </c>
    </row>
    <row r="32" spans="1:22" x14ac:dyDescent="0.25">
      <c r="A32" s="9"/>
      <c r="B32" s="19"/>
      <c r="C32" s="33" t="s">
        <v>22</v>
      </c>
      <c r="D32" s="10">
        <v>0</v>
      </c>
      <c r="E32" s="15">
        <f>E16</f>
        <v>1.1591238758340585</v>
      </c>
      <c r="F32" s="15">
        <f t="shared" ref="F32:L32" si="18">F16</f>
        <v>1.2566533183344673</v>
      </c>
      <c r="G32" s="15">
        <f t="shared" si="18"/>
        <v>1.3541827608348758</v>
      </c>
      <c r="H32" s="15">
        <f t="shared" si="18"/>
        <v>1.4517122033352845</v>
      </c>
      <c r="I32" s="15">
        <f t="shared" si="18"/>
        <v>1.5492416458356932</v>
      </c>
      <c r="J32" s="15">
        <f t="shared" si="18"/>
        <v>1.6467710883361018</v>
      </c>
      <c r="K32" s="15">
        <f t="shared" si="18"/>
        <v>1.7443005308365105</v>
      </c>
      <c r="L32" s="15">
        <f t="shared" si="18"/>
        <v>1.841829973336919</v>
      </c>
      <c r="M32" s="34" t="s">
        <v>22</v>
      </c>
      <c r="N32" s="11">
        <v>0</v>
      </c>
      <c r="O32" s="16">
        <f>O16</f>
        <v>0.57956193791702926</v>
      </c>
      <c r="P32" s="16">
        <f t="shared" ref="P32:V32" si="19">P16</f>
        <v>0.62832665916723363</v>
      </c>
      <c r="Q32" s="16">
        <f t="shared" si="19"/>
        <v>0.67709138041743788</v>
      </c>
      <c r="R32" s="16">
        <f t="shared" si="19"/>
        <v>0.72585610166764225</v>
      </c>
      <c r="S32" s="16">
        <f t="shared" si="19"/>
        <v>0.77462082291784662</v>
      </c>
      <c r="T32" s="16">
        <f t="shared" si="19"/>
        <v>0.82338554416805088</v>
      </c>
      <c r="U32" s="16">
        <f t="shared" si="19"/>
        <v>0.87215026541825524</v>
      </c>
      <c r="V32" s="16">
        <f t="shared" si="19"/>
        <v>0.9209149866684595</v>
      </c>
    </row>
    <row r="33" spans="1:22" x14ac:dyDescent="0.25">
      <c r="A33" s="9"/>
      <c r="B33" s="19"/>
      <c r="C33" s="33"/>
      <c r="D33" s="10">
        <v>1</v>
      </c>
      <c r="E33" s="15">
        <f t="shared" ref="E33:L42" si="20">E17</f>
        <v>1.0519252521847173</v>
      </c>
      <c r="F33" s="15">
        <f t="shared" si="20"/>
        <v>1.1165816734301732</v>
      </c>
      <c r="G33" s="15">
        <f t="shared" si="20"/>
        <v>1.1812380946756291</v>
      </c>
      <c r="H33" s="15">
        <f t="shared" si="20"/>
        <v>1.2458945159210852</v>
      </c>
      <c r="I33" s="15">
        <f t="shared" si="20"/>
        <v>1.3105509371665416</v>
      </c>
      <c r="J33" s="15">
        <f t="shared" si="20"/>
        <v>1.3752073584119973</v>
      </c>
      <c r="K33" s="15">
        <f t="shared" si="20"/>
        <v>1.4398637796574534</v>
      </c>
      <c r="L33" s="15">
        <f t="shared" si="20"/>
        <v>1.5045202009029097</v>
      </c>
      <c r="M33" s="34"/>
      <c r="N33" s="11">
        <v>1</v>
      </c>
      <c r="O33" s="16">
        <f t="shared" ref="O33:V42" si="21">O17</f>
        <v>0.52857935557540525</v>
      </c>
      <c r="P33" s="16">
        <f t="shared" si="21"/>
        <v>0.56106840306690309</v>
      </c>
      <c r="Q33" s="16">
        <f t="shared" si="21"/>
        <v>0.59355745055840081</v>
      </c>
      <c r="R33" s="16">
        <f t="shared" si="21"/>
        <v>0.62604649804989865</v>
      </c>
      <c r="S33" s="16">
        <f t="shared" si="21"/>
        <v>0.65853554554139648</v>
      </c>
      <c r="T33" s="16">
        <f t="shared" si="21"/>
        <v>0.69102459303289421</v>
      </c>
      <c r="U33" s="16">
        <f t="shared" si="21"/>
        <v>0.72351364052439204</v>
      </c>
      <c r="V33" s="16">
        <f t="shared" si="21"/>
        <v>0.75600268801588988</v>
      </c>
    </row>
    <row r="34" spans="1:22" x14ac:dyDescent="0.25">
      <c r="A34" s="9"/>
      <c r="B34" s="19"/>
      <c r="C34" s="33"/>
      <c r="D34" s="10">
        <v>2</v>
      </c>
      <c r="E34" s="15">
        <f t="shared" si="20"/>
        <v>1.0416122595162396</v>
      </c>
      <c r="F34" s="15">
        <f t="shared" si="20"/>
        <v>1.1056347942788971</v>
      </c>
      <c r="G34" s="15">
        <f t="shared" si="20"/>
        <v>1.1696573290415544</v>
      </c>
      <c r="H34" s="15">
        <f t="shared" si="20"/>
        <v>1.2336798638042119</v>
      </c>
      <c r="I34" s="15">
        <f t="shared" si="20"/>
        <v>1.2977023985668694</v>
      </c>
      <c r="J34" s="15">
        <f t="shared" si="20"/>
        <v>1.3617249333295267</v>
      </c>
      <c r="K34" s="15">
        <f t="shared" si="20"/>
        <v>1.425747468092184</v>
      </c>
      <c r="L34" s="15">
        <f t="shared" si="20"/>
        <v>1.4897700028548417</v>
      </c>
      <c r="M34" s="34"/>
      <c r="N34" s="11">
        <v>2</v>
      </c>
      <c r="O34" s="16">
        <f t="shared" si="21"/>
        <v>0.52596262609235866</v>
      </c>
      <c r="P34" s="16">
        <f t="shared" si="21"/>
        <v>0.55829083671508661</v>
      </c>
      <c r="Q34" s="16">
        <f t="shared" si="21"/>
        <v>0.59061904733781456</v>
      </c>
      <c r="R34" s="16">
        <f t="shared" si="21"/>
        <v>0.62294725796054262</v>
      </c>
      <c r="S34" s="16">
        <f t="shared" si="21"/>
        <v>0.65527546858327079</v>
      </c>
      <c r="T34" s="16">
        <f t="shared" si="21"/>
        <v>0.68760367920599863</v>
      </c>
      <c r="U34" s="16">
        <f t="shared" si="21"/>
        <v>0.71993188982872669</v>
      </c>
      <c r="V34" s="16">
        <f t="shared" si="21"/>
        <v>0.75226010045145486</v>
      </c>
    </row>
    <row r="35" spans="1:22" x14ac:dyDescent="0.25">
      <c r="A35" s="9"/>
      <c r="B35" s="19"/>
      <c r="C35" s="33"/>
      <c r="D35" s="10">
        <v>3</v>
      </c>
      <c r="E35" s="15">
        <f t="shared" si="20"/>
        <v>1.0314995191325866</v>
      </c>
      <c r="F35" s="15">
        <f t="shared" si="20"/>
        <v>1.09490047588784</v>
      </c>
      <c r="G35" s="15">
        <f t="shared" si="20"/>
        <v>1.1583014326430927</v>
      </c>
      <c r="H35" s="15">
        <f t="shared" si="20"/>
        <v>1.2217023893983459</v>
      </c>
      <c r="I35" s="15">
        <f t="shared" si="20"/>
        <v>1.2851033461535988</v>
      </c>
      <c r="J35" s="15">
        <f t="shared" si="20"/>
        <v>1.3485043029088517</v>
      </c>
      <c r="K35" s="15">
        <f t="shared" si="20"/>
        <v>1.4119052596641049</v>
      </c>
      <c r="L35" s="15">
        <f t="shared" si="20"/>
        <v>1.4753062164193578</v>
      </c>
      <c r="M35" s="34"/>
      <c r="N35" s="11">
        <v>3</v>
      </c>
      <c r="O35" s="16">
        <f t="shared" si="21"/>
        <v>0.52337167719535194</v>
      </c>
      <c r="P35" s="16">
        <f t="shared" si="21"/>
        <v>0.55554063554900257</v>
      </c>
      <c r="Q35" s="16">
        <f t="shared" si="21"/>
        <v>0.58770959390265309</v>
      </c>
      <c r="R35" s="16">
        <f t="shared" si="21"/>
        <v>0.61987855225630362</v>
      </c>
      <c r="S35" s="16">
        <f t="shared" si="21"/>
        <v>0.65204751060995425</v>
      </c>
      <c r="T35" s="16">
        <f t="shared" si="21"/>
        <v>0.68421646896360466</v>
      </c>
      <c r="U35" s="16">
        <f t="shared" si="21"/>
        <v>0.71638542731725519</v>
      </c>
      <c r="V35" s="16">
        <f t="shared" si="21"/>
        <v>0.74855438567090582</v>
      </c>
    </row>
    <row r="36" spans="1:22" x14ac:dyDescent="0.25">
      <c r="A36" s="9"/>
      <c r="B36" s="19"/>
      <c r="C36" s="33"/>
      <c r="D36" s="10">
        <v>4</v>
      </c>
      <c r="E36" s="15">
        <f t="shared" si="20"/>
        <v>1.0215812545255427</v>
      </c>
      <c r="F36" s="15">
        <f t="shared" si="20"/>
        <v>1.0843725866966107</v>
      </c>
      <c r="G36" s="15">
        <f t="shared" si="20"/>
        <v>1.1471639188676783</v>
      </c>
      <c r="H36" s="15">
        <f t="shared" si="20"/>
        <v>1.2099552510387463</v>
      </c>
      <c r="I36" s="15">
        <f t="shared" si="20"/>
        <v>1.2727465832098142</v>
      </c>
      <c r="J36" s="15">
        <f t="shared" si="20"/>
        <v>1.335537915380882</v>
      </c>
      <c r="K36" s="15">
        <f t="shared" si="20"/>
        <v>1.3983292475519498</v>
      </c>
      <c r="L36" s="15">
        <f t="shared" si="20"/>
        <v>1.461120579723018</v>
      </c>
      <c r="M36" s="34"/>
      <c r="N36" s="11">
        <v>4</v>
      </c>
      <c r="O36" s="16">
        <f t="shared" si="21"/>
        <v>0.5208061297581198</v>
      </c>
      <c r="P36" s="16">
        <f t="shared" si="21"/>
        <v>0.55281739713944855</v>
      </c>
      <c r="Q36" s="16">
        <f t="shared" si="21"/>
        <v>0.5848286645207772</v>
      </c>
      <c r="R36" s="16">
        <f t="shared" si="21"/>
        <v>0.61683993190210595</v>
      </c>
      <c r="S36" s="16">
        <f t="shared" si="21"/>
        <v>0.64885119928343471</v>
      </c>
      <c r="T36" s="16">
        <f t="shared" si="21"/>
        <v>0.68086246666476335</v>
      </c>
      <c r="U36" s="16">
        <f t="shared" si="21"/>
        <v>0.712873734046092</v>
      </c>
      <c r="V36" s="16">
        <f t="shared" si="21"/>
        <v>0.74488500142742087</v>
      </c>
    </row>
    <row r="37" spans="1:22" x14ac:dyDescent="0.25">
      <c r="A37" s="9"/>
      <c r="B37" s="19"/>
      <c r="C37" s="33"/>
      <c r="D37" s="10">
        <v>5</v>
      </c>
      <c r="E37" s="15">
        <f t="shared" si="20"/>
        <v>1.011851909244347</v>
      </c>
      <c r="F37" s="15">
        <f t="shared" si="20"/>
        <v>1.0740452287280715</v>
      </c>
      <c r="G37" s="15">
        <f t="shared" si="20"/>
        <v>1.1362385482117956</v>
      </c>
      <c r="H37" s="15">
        <f t="shared" si="20"/>
        <v>1.1984318676955201</v>
      </c>
      <c r="I37" s="15">
        <f t="shared" si="20"/>
        <v>1.2606251871792447</v>
      </c>
      <c r="J37" s="15">
        <f t="shared" si="20"/>
        <v>1.3228185066629687</v>
      </c>
      <c r="K37" s="15">
        <f t="shared" si="20"/>
        <v>1.3850118261466933</v>
      </c>
      <c r="L37" s="15">
        <f t="shared" si="20"/>
        <v>1.4472051456304176</v>
      </c>
      <c r="M37" s="34"/>
      <c r="N37" s="11">
        <v>5</v>
      </c>
      <c r="O37" s="16">
        <f t="shared" si="21"/>
        <v>0.51826561205198274</v>
      </c>
      <c r="P37" s="16">
        <f t="shared" si="21"/>
        <v>0.55012072690950009</v>
      </c>
      <c r="Q37" s="16">
        <f t="shared" si="21"/>
        <v>0.58197584176701733</v>
      </c>
      <c r="R37" s="16">
        <f t="shared" si="21"/>
        <v>0.6138309566245348</v>
      </c>
      <c r="S37" s="16">
        <f t="shared" si="21"/>
        <v>0.64568607148205215</v>
      </c>
      <c r="T37" s="16">
        <f t="shared" si="21"/>
        <v>0.67754118633956939</v>
      </c>
      <c r="U37" s="16">
        <f t="shared" si="21"/>
        <v>0.70939630119708685</v>
      </c>
      <c r="V37" s="16">
        <f t="shared" si="21"/>
        <v>0.74125141605460432</v>
      </c>
    </row>
    <row r="38" spans="1:22" x14ac:dyDescent="0.25">
      <c r="A38" s="9"/>
      <c r="B38" s="19"/>
      <c r="C38" s="33"/>
      <c r="D38" s="10">
        <v>6</v>
      </c>
      <c r="E38" s="15">
        <f t="shared" si="20"/>
        <v>1.0023061365156267</v>
      </c>
      <c r="F38" s="15">
        <f t="shared" si="20"/>
        <v>1.0639127265702595</v>
      </c>
      <c r="G38" s="15">
        <f t="shared" si="20"/>
        <v>1.125519316624892</v>
      </c>
      <c r="H38" s="15">
        <f t="shared" si="20"/>
        <v>1.1871259066795246</v>
      </c>
      <c r="I38" s="15">
        <f t="shared" si="20"/>
        <v>1.2487324967341573</v>
      </c>
      <c r="J38" s="15">
        <f t="shared" si="20"/>
        <v>1.3103390867887899</v>
      </c>
      <c r="K38" s="15">
        <f t="shared" si="20"/>
        <v>1.3719456768434224</v>
      </c>
      <c r="L38" s="15">
        <f t="shared" si="20"/>
        <v>1.4335522668980554</v>
      </c>
      <c r="M38" s="34"/>
      <c r="N38" s="11">
        <v>6</v>
      </c>
      <c r="O38" s="16">
        <f t="shared" si="21"/>
        <v>0.51574975956629332</v>
      </c>
      <c r="P38" s="16">
        <f t="shared" si="21"/>
        <v>0.54745023794392</v>
      </c>
      <c r="Q38" s="16">
        <f t="shared" si="21"/>
        <v>0.57915071632154635</v>
      </c>
      <c r="R38" s="16">
        <f t="shared" si="21"/>
        <v>0.61085119469917293</v>
      </c>
      <c r="S38" s="16">
        <f t="shared" si="21"/>
        <v>0.64255167307679939</v>
      </c>
      <c r="T38" s="16">
        <f t="shared" si="21"/>
        <v>0.67425215145442585</v>
      </c>
      <c r="U38" s="16">
        <f t="shared" si="21"/>
        <v>0.70595262983205243</v>
      </c>
      <c r="V38" s="16">
        <f t="shared" si="21"/>
        <v>0.73765310820967889</v>
      </c>
    </row>
    <row r="39" spans="1:22" x14ac:dyDescent="0.25">
      <c r="A39" s="9"/>
      <c r="B39" s="19"/>
      <c r="C39" s="33"/>
      <c r="D39" s="10">
        <v>7</v>
      </c>
      <c r="E39" s="15">
        <f t="shared" si="20"/>
        <v>0.99293878944538716</v>
      </c>
      <c r="F39" s="15">
        <f t="shared" si="20"/>
        <v>1.0539696169761448</v>
      </c>
      <c r="G39" s="15">
        <f t="shared" si="20"/>
        <v>1.1150004445069022</v>
      </c>
      <c r="H39" s="15">
        <f t="shared" si="20"/>
        <v>1.17603127203766</v>
      </c>
      <c r="I39" s="15">
        <f t="shared" si="20"/>
        <v>1.2370620995684176</v>
      </c>
      <c r="J39" s="15">
        <f t="shared" si="20"/>
        <v>1.298092927099175</v>
      </c>
      <c r="K39" s="15">
        <f t="shared" si="20"/>
        <v>1.3591237546299326</v>
      </c>
      <c r="L39" s="15">
        <f t="shared" si="20"/>
        <v>1.4201545821606905</v>
      </c>
      <c r="M39" s="34"/>
      <c r="N39" s="11">
        <v>7</v>
      </c>
      <c r="O39" s="16">
        <f t="shared" si="21"/>
        <v>0.51325821483408907</v>
      </c>
      <c r="P39" s="16">
        <f t="shared" si="21"/>
        <v>0.54480555080409421</v>
      </c>
      <c r="Q39" s="16">
        <f t="shared" si="21"/>
        <v>0.57635288677409935</v>
      </c>
      <c r="R39" s="16">
        <f t="shared" si="21"/>
        <v>0.60790022274410449</v>
      </c>
      <c r="S39" s="16">
        <f t="shared" si="21"/>
        <v>0.63944755871410963</v>
      </c>
      <c r="T39" s="16">
        <f t="shared" si="21"/>
        <v>0.67099489468411466</v>
      </c>
      <c r="U39" s="16">
        <f t="shared" si="21"/>
        <v>0.7025422306541198</v>
      </c>
      <c r="V39" s="16">
        <f t="shared" si="21"/>
        <v>0.73408956662412506</v>
      </c>
    </row>
    <row r="40" spans="1:22" x14ac:dyDescent="0.25">
      <c r="A40" s="9"/>
      <c r="B40" s="19"/>
      <c r="C40" s="33"/>
      <c r="D40" s="10">
        <v>8</v>
      </c>
      <c r="E40" s="15">
        <f t="shared" si="20"/>
        <v>0.98374491176533729</v>
      </c>
      <c r="F40" s="15">
        <f t="shared" si="20"/>
        <v>1.0442106390411807</v>
      </c>
      <c r="G40" s="15">
        <f t="shared" si="20"/>
        <v>1.1046763663170236</v>
      </c>
      <c r="H40" s="15">
        <f t="shared" si="20"/>
        <v>1.1651420935928667</v>
      </c>
      <c r="I40" s="15">
        <f t="shared" si="20"/>
        <v>1.22560782086871</v>
      </c>
      <c r="J40" s="15">
        <f t="shared" si="20"/>
        <v>1.2860735481445529</v>
      </c>
      <c r="K40" s="15">
        <f t="shared" si="20"/>
        <v>1.3465392754203962</v>
      </c>
      <c r="L40" s="15">
        <f t="shared" si="20"/>
        <v>1.4070050026962395</v>
      </c>
      <c r="M40" s="34"/>
      <c r="N40" s="11">
        <v>8</v>
      </c>
      <c r="O40" s="16">
        <f t="shared" si="21"/>
        <v>0.51079062726277136</v>
      </c>
      <c r="P40" s="16">
        <f t="shared" si="21"/>
        <v>0.54218629334830537</v>
      </c>
      <c r="Q40" s="16">
        <f t="shared" si="21"/>
        <v>0.57358195943383916</v>
      </c>
      <c r="R40" s="16">
        <f t="shared" si="21"/>
        <v>0.60497762551937317</v>
      </c>
      <c r="S40" s="16">
        <f t="shared" si="21"/>
        <v>0.63637329160490708</v>
      </c>
      <c r="T40" s="16">
        <f t="shared" si="21"/>
        <v>0.66776895769044098</v>
      </c>
      <c r="U40" s="16">
        <f t="shared" si="21"/>
        <v>0.69916462377597488</v>
      </c>
      <c r="V40" s="16">
        <f t="shared" si="21"/>
        <v>0.730560289861509</v>
      </c>
    </row>
    <row r="41" spans="1:22" x14ac:dyDescent="0.25">
      <c r="A41" s="9"/>
      <c r="B41" s="19"/>
      <c r="C41" s="33"/>
      <c r="D41" s="10">
        <v>9</v>
      </c>
      <c r="E41" s="15">
        <f t="shared" si="20"/>
        <v>0.97471972908859106</v>
      </c>
      <c r="F41" s="15">
        <f t="shared" si="20"/>
        <v>1.0346307249215367</v>
      </c>
      <c r="G41" s="15">
        <f t="shared" si="20"/>
        <v>1.0945417207544821</v>
      </c>
      <c r="H41" s="15">
        <f t="shared" si="20"/>
        <v>1.1544527165874277</v>
      </c>
      <c r="I41" s="15">
        <f t="shared" si="20"/>
        <v>1.2143637124203732</v>
      </c>
      <c r="J41" s="15">
        <f t="shared" si="20"/>
        <v>1.2742747082533186</v>
      </c>
      <c r="K41" s="15">
        <f t="shared" si="20"/>
        <v>1.3341857040862641</v>
      </c>
      <c r="L41" s="15">
        <f t="shared" si="20"/>
        <v>1.3940966999192099</v>
      </c>
      <c r="M41" s="34"/>
      <c r="N41" s="11">
        <v>9</v>
      </c>
      <c r="O41" s="16">
        <f t="shared" si="21"/>
        <v>0.50834665296964809</v>
      </c>
      <c r="P41" s="16">
        <f t="shared" si="21"/>
        <v>0.53959210055716522</v>
      </c>
      <c r="Q41" s="16">
        <f t="shared" si="21"/>
        <v>0.57083754814468213</v>
      </c>
      <c r="R41" s="16">
        <f t="shared" si="21"/>
        <v>0.60208299573219926</v>
      </c>
      <c r="S41" s="16">
        <f t="shared" si="21"/>
        <v>0.63332844331971627</v>
      </c>
      <c r="T41" s="16">
        <f t="shared" si="21"/>
        <v>0.66457389090723318</v>
      </c>
      <c r="U41" s="16">
        <f t="shared" si="21"/>
        <v>0.69581933849475031</v>
      </c>
      <c r="V41" s="16">
        <f t="shared" si="21"/>
        <v>0.72706478608226743</v>
      </c>
    </row>
    <row r="42" spans="1:22" x14ac:dyDescent="0.25">
      <c r="A42" s="9"/>
      <c r="B42" s="19"/>
      <c r="C42" s="33"/>
      <c r="D42" s="10">
        <v>10</v>
      </c>
      <c r="E42" s="15">
        <f t="shared" si="20"/>
        <v>0.96585864064233118</v>
      </c>
      <c r="F42" s="15">
        <f t="shared" si="20"/>
        <v>1.0252249910586135</v>
      </c>
      <c r="G42" s="15">
        <f t="shared" si="20"/>
        <v>1.0845913414748958</v>
      </c>
      <c r="H42" s="15">
        <f t="shared" si="20"/>
        <v>1.1439576918911782</v>
      </c>
      <c r="I42" s="15">
        <f t="shared" si="20"/>
        <v>1.2033240423074607</v>
      </c>
      <c r="J42" s="15">
        <f t="shared" si="20"/>
        <v>1.2626903927237429</v>
      </c>
      <c r="K42" s="15">
        <f t="shared" si="20"/>
        <v>1.3220567431400252</v>
      </c>
      <c r="L42" s="15">
        <f t="shared" si="20"/>
        <v>1.3814230935563079</v>
      </c>
      <c r="M42" s="34"/>
      <c r="N42" s="11">
        <v>10</v>
      </c>
      <c r="O42" s="16">
        <f t="shared" si="21"/>
        <v>0.50592595462217349</v>
      </c>
      <c r="P42" s="16">
        <f t="shared" si="21"/>
        <v>0.53702261436403576</v>
      </c>
      <c r="Q42" s="16">
        <f t="shared" si="21"/>
        <v>0.5681192741058978</v>
      </c>
      <c r="R42" s="16">
        <f t="shared" si="21"/>
        <v>0.59921593384776006</v>
      </c>
      <c r="S42" s="16">
        <f t="shared" si="21"/>
        <v>0.63031259358962233</v>
      </c>
      <c r="T42" s="16">
        <f t="shared" si="21"/>
        <v>0.66140925333148437</v>
      </c>
      <c r="U42" s="16">
        <f t="shared" si="21"/>
        <v>0.69250591307334664</v>
      </c>
      <c r="V42" s="16">
        <f t="shared" si="21"/>
        <v>0.72360257281520879</v>
      </c>
    </row>
  </sheetData>
  <mergeCells count="13">
    <mergeCell ref="A26:B26"/>
    <mergeCell ref="A1:B1"/>
    <mergeCell ref="D1:V1"/>
    <mergeCell ref="A12:B12"/>
    <mergeCell ref="A13:B13"/>
    <mergeCell ref="A15:B15"/>
    <mergeCell ref="C32:C42"/>
    <mergeCell ref="M32:M42"/>
    <mergeCell ref="A27:B27"/>
    <mergeCell ref="D29:L29"/>
    <mergeCell ref="N29:V29"/>
    <mergeCell ref="E30:L30"/>
    <mergeCell ref="O30:V3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FD00-7827-478B-909D-2F1F2A1C78BF}">
  <dimension ref="A1:V42"/>
  <sheetViews>
    <sheetView tabSelected="1" zoomScale="80" zoomScaleNormal="80" workbookViewId="0">
      <selection activeCell="G51" sqref="G51"/>
    </sheetView>
  </sheetViews>
  <sheetFormatPr defaultRowHeight="13.8" x14ac:dyDescent="0.25"/>
  <cols>
    <col min="1" max="1" width="15.21875" style="13" customWidth="1"/>
    <col min="2" max="2" width="15.33203125" style="13" customWidth="1"/>
    <col min="3" max="16384" width="8.88671875" style="13"/>
  </cols>
  <sheetData>
    <row r="1" spans="1:22" x14ac:dyDescent="0.25">
      <c r="A1" s="32" t="s">
        <v>23</v>
      </c>
      <c r="B1" s="32"/>
      <c r="C1" s="17"/>
      <c r="D1" s="32" t="s">
        <v>9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x14ac:dyDescent="0.25">
      <c r="A2" s="12" t="s">
        <v>13</v>
      </c>
      <c r="B2" s="18" t="s">
        <v>24</v>
      </c>
      <c r="C2" s="9"/>
      <c r="D2" s="9"/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O2" s="9">
        <v>3</v>
      </c>
      <c r="P2" s="9">
        <v>4</v>
      </c>
      <c r="Q2" s="9">
        <v>5</v>
      </c>
      <c r="R2" s="9">
        <v>6</v>
      </c>
      <c r="S2" s="9">
        <v>7</v>
      </c>
      <c r="T2" s="9">
        <v>8</v>
      </c>
      <c r="U2" s="9">
        <v>9</v>
      </c>
      <c r="V2" s="9">
        <v>10</v>
      </c>
    </row>
    <row r="3" spans="1:22" x14ac:dyDescent="0.25">
      <c r="A3" s="9">
        <v>8</v>
      </c>
      <c r="B3" s="9">
        <f>Data!$B$24+Data!$B$24*0.03*Data!B13</f>
        <v>84.526162020000001</v>
      </c>
      <c r="C3" s="9"/>
      <c r="D3" s="9">
        <v>0</v>
      </c>
      <c r="E3" s="9">
        <f>(Data!$H$24)+(Data!$H$24)*E2/100*$A$27</f>
        <v>99.962808689999989</v>
      </c>
      <c r="F3" s="9">
        <f>(Data!$H$24)+(Data!$H$24)*F2/100*$A$27</f>
        <v>108.37374491999998</v>
      </c>
      <c r="G3" s="9">
        <f>(Data!$H$24)+(Data!$H$24)*G2/100*$A$27</f>
        <v>116.78468114999998</v>
      </c>
      <c r="H3" s="9">
        <f>(Data!$H$24)+(Data!$H$24)*H2/100*$A$27</f>
        <v>125.19561737999999</v>
      </c>
      <c r="I3" s="9">
        <f>(Data!$H$24)+(Data!$H$24)*I2/100*$A$27</f>
        <v>133.60655360999999</v>
      </c>
      <c r="J3" s="9">
        <f>(Data!$H$24)+(Data!$H$24)*J2/100*$A$27</f>
        <v>142.01748984</v>
      </c>
      <c r="K3" s="9">
        <f>(Data!$H$24)+(Data!$H$24)*K2/100*$A$27</f>
        <v>150.42842607</v>
      </c>
      <c r="L3" s="9">
        <f>(Data!$H$24)+(Data!$H$24)*L2/100*$A$27</f>
        <v>158.8393623</v>
      </c>
      <c r="N3" s="9">
        <v>0</v>
      </c>
      <c r="O3" s="9">
        <f>(Data!$H$24)+(Data!$H$24)*O2/100*$A$27</f>
        <v>99.962808689999989</v>
      </c>
      <c r="P3" s="9">
        <f>(Data!$H$24)+(Data!$H$24)*P2/100*$A$27</f>
        <v>108.37374491999998</v>
      </c>
      <c r="Q3" s="9">
        <f>(Data!$H$24)+(Data!$H$24)*Q2/100*$A$27</f>
        <v>116.78468114999998</v>
      </c>
      <c r="R3" s="9">
        <f>(Data!$H$24)+(Data!$H$24)*R2/100*$A$27</f>
        <v>125.19561737999999</v>
      </c>
      <c r="S3" s="9">
        <f>(Data!$H$24)+(Data!$H$24)*S2/100*$A$27</f>
        <v>133.60655360999999</v>
      </c>
      <c r="T3" s="9">
        <f>(Data!$H$24)+(Data!$H$24)*T2/100*$A$27</f>
        <v>142.01748984</v>
      </c>
      <c r="U3" s="9">
        <f>(Data!$H$24)+(Data!$H$24)*U2/100*$A$27</f>
        <v>150.42842607</v>
      </c>
      <c r="V3" s="9">
        <f>(Data!$H$24)+(Data!$H$24)*V2/100*$A$27</f>
        <v>158.8393623</v>
      </c>
    </row>
    <row r="4" spans="1:22" x14ac:dyDescent="0.25">
      <c r="A4" s="9">
        <v>7</v>
      </c>
      <c r="B4" s="9">
        <f>Data!$B$24+Data!$B$24*0.03*Data!B14</f>
        <v>85.367092139999997</v>
      </c>
      <c r="C4" s="9"/>
      <c r="D4" s="9">
        <v>1</v>
      </c>
      <c r="E4" s="9">
        <v>91.62518258999998</v>
      </c>
      <c r="F4" s="9">
        <v>97.256910119999986</v>
      </c>
      <c r="G4" s="9">
        <v>102.88863764999999</v>
      </c>
      <c r="H4" s="9">
        <v>108.52036517999998</v>
      </c>
      <c r="I4" s="9">
        <v>114.15209270999998</v>
      </c>
      <c r="J4" s="9">
        <v>119.78382023999998</v>
      </c>
      <c r="K4" s="9">
        <v>125.41554776999999</v>
      </c>
      <c r="L4" s="9">
        <v>131.0472753</v>
      </c>
      <c r="N4" s="9">
        <v>1</v>
      </c>
      <c r="O4" s="9">
        <v>91.62518258999998</v>
      </c>
      <c r="P4" s="9">
        <v>97.256910119999986</v>
      </c>
      <c r="Q4" s="9">
        <v>102.88863764999999</v>
      </c>
      <c r="R4" s="9">
        <v>108.52036517999998</v>
      </c>
      <c r="S4" s="9">
        <v>114.15209270999998</v>
      </c>
      <c r="T4" s="9">
        <v>119.78382023999998</v>
      </c>
      <c r="U4" s="9">
        <v>125.41554776999999</v>
      </c>
      <c r="V4" s="9">
        <v>131.0472753</v>
      </c>
    </row>
    <row r="5" spans="1:22" x14ac:dyDescent="0.25">
      <c r="A5" s="9">
        <v>6</v>
      </c>
      <c r="B5" s="9">
        <f>Data!$B$24+Data!$B$24*0.03*Data!B15</f>
        <v>86.279375160000001</v>
      </c>
      <c r="C5" s="9"/>
      <c r="D5" s="9">
        <v>2</v>
      </c>
      <c r="E5" s="9">
        <v>91.62518258999998</v>
      </c>
      <c r="F5" s="9">
        <v>97.256910119999986</v>
      </c>
      <c r="G5" s="9">
        <v>102.88863764999999</v>
      </c>
      <c r="H5" s="9">
        <v>108.52036517999998</v>
      </c>
      <c r="I5" s="9">
        <v>114.15209270999998</v>
      </c>
      <c r="J5" s="9">
        <v>119.78382023999998</v>
      </c>
      <c r="K5" s="9">
        <v>125.41554776999999</v>
      </c>
      <c r="L5" s="9">
        <v>131.0472753</v>
      </c>
      <c r="N5" s="9">
        <v>2</v>
      </c>
      <c r="O5" s="9">
        <v>91.62518258999998</v>
      </c>
      <c r="P5" s="9">
        <v>97.256910119999986</v>
      </c>
      <c r="Q5" s="9">
        <v>102.88863764999999</v>
      </c>
      <c r="R5" s="9">
        <v>108.52036517999998</v>
      </c>
      <c r="S5" s="9">
        <v>114.15209270999998</v>
      </c>
      <c r="T5" s="9">
        <v>119.78382023999998</v>
      </c>
      <c r="U5" s="9">
        <v>125.41554776999999</v>
      </c>
      <c r="V5" s="9">
        <v>131.0472753</v>
      </c>
    </row>
    <row r="6" spans="1:22" x14ac:dyDescent="0.25">
      <c r="A6" s="9">
        <v>5</v>
      </c>
      <c r="B6" s="9">
        <f>Data!$B$24+Data!$B$24*0.03*Data!B16</f>
        <v>87.271077059999996</v>
      </c>
      <c r="C6" s="9"/>
      <c r="D6" s="9">
        <v>3</v>
      </c>
      <c r="E6" s="9">
        <v>91.62518258999998</v>
      </c>
      <c r="F6" s="9">
        <v>97.256910119999986</v>
      </c>
      <c r="G6" s="9">
        <v>102.88863764999999</v>
      </c>
      <c r="H6" s="9">
        <v>108.52036517999998</v>
      </c>
      <c r="I6" s="9">
        <v>114.15209270999998</v>
      </c>
      <c r="J6" s="9">
        <v>119.78382023999998</v>
      </c>
      <c r="K6" s="9">
        <v>125.41554776999999</v>
      </c>
      <c r="L6" s="9">
        <v>131.0472753</v>
      </c>
      <c r="N6" s="9">
        <v>3</v>
      </c>
      <c r="O6" s="9">
        <v>91.62518258999998</v>
      </c>
      <c r="P6" s="9">
        <v>97.256910119999986</v>
      </c>
      <c r="Q6" s="9">
        <v>102.88863764999999</v>
      </c>
      <c r="R6" s="9">
        <v>108.52036517999998</v>
      </c>
      <c r="S6" s="9">
        <v>114.15209270999998</v>
      </c>
      <c r="T6" s="9">
        <v>119.78382023999998</v>
      </c>
      <c r="U6" s="9">
        <v>125.41554776999999</v>
      </c>
      <c r="V6" s="9">
        <v>131.0472753</v>
      </c>
    </row>
    <row r="7" spans="1:22" x14ac:dyDescent="0.25">
      <c r="A7" s="9">
        <v>4</v>
      </c>
      <c r="B7" s="9">
        <f>Data!$B$24+Data!$B$24*0.03*Data!B17</f>
        <v>88.350263819999995</v>
      </c>
      <c r="C7" s="9"/>
      <c r="D7" s="9">
        <v>4</v>
      </c>
      <c r="E7" s="9">
        <v>91.62518258999998</v>
      </c>
      <c r="F7" s="9">
        <v>97.256910119999986</v>
      </c>
      <c r="G7" s="9">
        <v>102.88863764999999</v>
      </c>
      <c r="H7" s="9">
        <v>108.52036517999998</v>
      </c>
      <c r="I7" s="9">
        <v>114.15209270999998</v>
      </c>
      <c r="J7" s="9">
        <v>119.78382023999998</v>
      </c>
      <c r="K7" s="9">
        <v>125.41554776999999</v>
      </c>
      <c r="L7" s="9">
        <v>131.0472753</v>
      </c>
      <c r="N7" s="9">
        <v>4</v>
      </c>
      <c r="O7" s="9">
        <v>91.62518258999998</v>
      </c>
      <c r="P7" s="9">
        <v>97.256910119999986</v>
      </c>
      <c r="Q7" s="9">
        <v>102.88863764999999</v>
      </c>
      <c r="R7" s="9">
        <v>108.52036517999998</v>
      </c>
      <c r="S7" s="9">
        <v>114.15209270999998</v>
      </c>
      <c r="T7" s="9">
        <v>119.78382023999998</v>
      </c>
      <c r="U7" s="9">
        <v>125.41554776999999</v>
      </c>
      <c r="V7" s="9">
        <v>131.0472753</v>
      </c>
    </row>
    <row r="8" spans="1:22" x14ac:dyDescent="0.25">
      <c r="A8" s="9">
        <v>3</v>
      </c>
      <c r="B8" s="9">
        <f>Data!$B$24+Data!$B$24*0.03*Data!B18</f>
        <v>89.526862800000004</v>
      </c>
      <c r="C8" s="9"/>
      <c r="D8" s="9">
        <v>5</v>
      </c>
      <c r="E8" s="9">
        <v>91.62518258999998</v>
      </c>
      <c r="F8" s="9">
        <v>97.256910119999986</v>
      </c>
      <c r="G8" s="9">
        <v>102.88863764999999</v>
      </c>
      <c r="H8" s="9">
        <v>108.52036517999998</v>
      </c>
      <c r="I8" s="9">
        <v>114.15209270999998</v>
      </c>
      <c r="J8" s="9">
        <v>119.78382023999998</v>
      </c>
      <c r="K8" s="9">
        <v>125.41554776999999</v>
      </c>
      <c r="L8" s="9">
        <v>131.0472753</v>
      </c>
      <c r="N8" s="9">
        <v>5</v>
      </c>
      <c r="O8" s="9">
        <v>91.62518258999998</v>
      </c>
      <c r="P8" s="9">
        <v>97.256910119999986</v>
      </c>
      <c r="Q8" s="9">
        <v>102.88863764999999</v>
      </c>
      <c r="R8" s="9">
        <v>108.52036517999998</v>
      </c>
      <c r="S8" s="9">
        <v>114.15209270999998</v>
      </c>
      <c r="T8" s="9">
        <v>119.78382023999998</v>
      </c>
      <c r="U8" s="9">
        <v>125.41554776999999</v>
      </c>
      <c r="V8" s="9">
        <v>131.0472753</v>
      </c>
    </row>
    <row r="9" spans="1:22" x14ac:dyDescent="0.25">
      <c r="A9" s="9">
        <v>2</v>
      </c>
      <c r="B9" s="9">
        <f>Data!$B$24+Data!$B$24*0.03*Data!B19</f>
        <v>90.811835459999998</v>
      </c>
      <c r="C9" s="9"/>
      <c r="D9" s="9">
        <v>6</v>
      </c>
      <c r="E9" s="9">
        <v>91.62518258999998</v>
      </c>
      <c r="F9" s="9">
        <v>97.256910119999986</v>
      </c>
      <c r="G9" s="9">
        <v>102.88863764999999</v>
      </c>
      <c r="H9" s="9">
        <v>108.52036517999998</v>
      </c>
      <c r="I9" s="9">
        <v>114.15209270999998</v>
      </c>
      <c r="J9" s="9">
        <v>119.78382023999998</v>
      </c>
      <c r="K9" s="9">
        <v>125.41554776999999</v>
      </c>
      <c r="L9" s="9">
        <v>131.0472753</v>
      </c>
      <c r="N9" s="9">
        <v>6</v>
      </c>
      <c r="O9" s="9">
        <v>91.62518258999998</v>
      </c>
      <c r="P9" s="9">
        <v>97.256910119999986</v>
      </c>
      <c r="Q9" s="9">
        <v>102.88863764999999</v>
      </c>
      <c r="R9" s="9">
        <v>108.52036517999998</v>
      </c>
      <c r="S9" s="9">
        <v>114.15209270999998</v>
      </c>
      <c r="T9" s="9">
        <v>119.78382023999998</v>
      </c>
      <c r="U9" s="9">
        <v>125.41554776999999</v>
      </c>
      <c r="V9" s="9">
        <v>131.0472753</v>
      </c>
    </row>
    <row r="10" spans="1:22" x14ac:dyDescent="0.25">
      <c r="A10" s="9">
        <v>1</v>
      </c>
      <c r="B10" s="9">
        <f>Data!$B$24+Data!$B$24*0.03*Data!B20</f>
        <v>92.217797820000001</v>
      </c>
      <c r="C10" s="9"/>
      <c r="D10" s="9">
        <v>7</v>
      </c>
      <c r="E10" s="9">
        <v>91.62518258999998</v>
      </c>
      <c r="F10" s="9">
        <v>97.256910119999986</v>
      </c>
      <c r="G10" s="9">
        <v>102.88863764999999</v>
      </c>
      <c r="H10" s="9">
        <v>108.52036517999998</v>
      </c>
      <c r="I10" s="9">
        <v>114.15209270999998</v>
      </c>
      <c r="J10" s="9">
        <v>119.78382023999998</v>
      </c>
      <c r="K10" s="9">
        <v>125.41554776999999</v>
      </c>
      <c r="L10" s="9">
        <v>131.0472753</v>
      </c>
      <c r="N10" s="9">
        <v>7</v>
      </c>
      <c r="O10" s="9">
        <v>91.62518258999998</v>
      </c>
      <c r="P10" s="9">
        <v>97.256910119999986</v>
      </c>
      <c r="Q10" s="9">
        <v>102.88863764999999</v>
      </c>
      <c r="R10" s="9">
        <v>108.52036517999998</v>
      </c>
      <c r="S10" s="9">
        <v>114.15209270999998</v>
      </c>
      <c r="T10" s="9">
        <v>119.78382023999998</v>
      </c>
      <c r="U10" s="9">
        <v>125.41554776999999</v>
      </c>
      <c r="V10" s="9">
        <v>131.0472753</v>
      </c>
    </row>
    <row r="11" spans="1:22" x14ac:dyDescent="0.25">
      <c r="A11" s="9">
        <v>0</v>
      </c>
      <c r="B11" s="9">
        <f>Data!$B$24+Data!$B$24*0.03*Data!B21</f>
        <v>93.758399999999995</v>
      </c>
      <c r="C11" s="9"/>
      <c r="D11" s="9">
        <v>8</v>
      </c>
      <c r="E11" s="9">
        <v>91.62518258999998</v>
      </c>
      <c r="F11" s="9">
        <v>97.256910119999986</v>
      </c>
      <c r="G11" s="9">
        <v>102.88863764999999</v>
      </c>
      <c r="H11" s="9">
        <v>108.52036517999998</v>
      </c>
      <c r="I11" s="9">
        <v>114.15209270999998</v>
      </c>
      <c r="J11" s="9">
        <v>119.78382023999998</v>
      </c>
      <c r="K11" s="9">
        <v>125.41554776999999</v>
      </c>
      <c r="L11" s="9">
        <v>131.0472753</v>
      </c>
      <c r="N11" s="9">
        <v>8</v>
      </c>
      <c r="O11" s="9">
        <v>91.62518258999998</v>
      </c>
      <c r="P11" s="9">
        <v>97.256910119999986</v>
      </c>
      <c r="Q11" s="9">
        <v>102.88863764999999</v>
      </c>
      <c r="R11" s="9">
        <v>108.52036517999998</v>
      </c>
      <c r="S11" s="9">
        <v>114.15209270999998</v>
      </c>
      <c r="T11" s="9">
        <v>119.78382023999998</v>
      </c>
      <c r="U11" s="9">
        <v>125.41554776999999</v>
      </c>
      <c r="V11" s="9">
        <v>131.0472753</v>
      </c>
    </row>
    <row r="12" spans="1:22" x14ac:dyDescent="0.25">
      <c r="A12" s="31" t="s">
        <v>25</v>
      </c>
      <c r="B12" s="31"/>
      <c r="C12" s="9"/>
      <c r="D12" s="9">
        <v>9</v>
      </c>
      <c r="E12" s="9">
        <v>91.62518258999998</v>
      </c>
      <c r="F12" s="9">
        <v>97.256910119999986</v>
      </c>
      <c r="G12" s="9">
        <v>102.88863764999999</v>
      </c>
      <c r="H12" s="9">
        <v>108.52036517999998</v>
      </c>
      <c r="I12" s="9">
        <v>114.15209270999998</v>
      </c>
      <c r="J12" s="9">
        <v>119.78382023999998</v>
      </c>
      <c r="K12" s="9">
        <v>125.41554776999999</v>
      </c>
      <c r="L12" s="9">
        <v>131.0472753</v>
      </c>
      <c r="N12" s="9">
        <v>9</v>
      </c>
      <c r="O12" s="9">
        <v>91.62518258999998</v>
      </c>
      <c r="P12" s="9">
        <v>97.256910119999986</v>
      </c>
      <c r="Q12" s="9">
        <v>102.88863764999999</v>
      </c>
      <c r="R12" s="9">
        <v>108.52036517999998</v>
      </c>
      <c r="S12" s="9">
        <v>114.15209270999998</v>
      </c>
      <c r="T12" s="9">
        <v>119.78382023999998</v>
      </c>
      <c r="U12" s="9">
        <v>125.41554776999999</v>
      </c>
      <c r="V12" s="9">
        <v>131.0472753</v>
      </c>
    </row>
    <row r="13" spans="1:22" x14ac:dyDescent="0.25">
      <c r="A13" s="32">
        <v>92.217797820000001</v>
      </c>
      <c r="B13" s="32"/>
      <c r="C13" s="9"/>
      <c r="D13" s="9">
        <v>10</v>
      </c>
      <c r="E13" s="9">
        <v>91.62518258999998</v>
      </c>
      <c r="F13" s="9">
        <v>97.256910119999986</v>
      </c>
      <c r="G13" s="9">
        <v>102.88863764999999</v>
      </c>
      <c r="H13" s="9">
        <v>108.52036517999998</v>
      </c>
      <c r="I13" s="9">
        <v>114.15209270999998</v>
      </c>
      <c r="J13" s="9">
        <v>119.78382023999998</v>
      </c>
      <c r="K13" s="9">
        <v>125.41554776999999</v>
      </c>
      <c r="L13" s="9">
        <v>131.0472753</v>
      </c>
      <c r="N13" s="9">
        <v>10</v>
      </c>
      <c r="O13" s="9">
        <v>91.62518258999998</v>
      </c>
      <c r="P13" s="9">
        <v>97.256910119999986</v>
      </c>
      <c r="Q13" s="9">
        <v>102.88863764999999</v>
      </c>
      <c r="R13" s="9">
        <v>108.52036517999998</v>
      </c>
      <c r="S13" s="9">
        <v>114.15209270999998</v>
      </c>
      <c r="T13" s="9">
        <v>119.78382023999998</v>
      </c>
      <c r="U13" s="9">
        <v>125.41554776999999</v>
      </c>
      <c r="V13" s="9">
        <v>131.0472753</v>
      </c>
    </row>
    <row r="14" spans="1:22" x14ac:dyDescent="0.25">
      <c r="A14" s="19"/>
      <c r="B14" s="19"/>
    </row>
    <row r="15" spans="1:22" x14ac:dyDescent="0.25">
      <c r="A15" s="32" t="s">
        <v>17</v>
      </c>
      <c r="B15" s="32"/>
      <c r="C15" s="9"/>
      <c r="D15" s="9"/>
      <c r="E15" s="9">
        <v>3</v>
      </c>
      <c r="F15" s="9">
        <v>4</v>
      </c>
      <c r="G15" s="9">
        <v>5</v>
      </c>
      <c r="H15" s="9">
        <v>6</v>
      </c>
      <c r="I15" s="9">
        <v>7</v>
      </c>
      <c r="J15" s="9">
        <v>8</v>
      </c>
      <c r="K15" s="9">
        <v>9</v>
      </c>
      <c r="L15" s="9">
        <v>10</v>
      </c>
      <c r="O15" s="9">
        <v>3</v>
      </c>
      <c r="P15" s="9">
        <v>4</v>
      </c>
      <c r="Q15" s="9">
        <v>5</v>
      </c>
      <c r="R15" s="9">
        <v>6</v>
      </c>
      <c r="S15" s="9">
        <v>7</v>
      </c>
      <c r="T15" s="9">
        <v>8</v>
      </c>
      <c r="U15" s="9">
        <v>9</v>
      </c>
      <c r="V15" s="9">
        <v>10</v>
      </c>
    </row>
    <row r="16" spans="1:22" x14ac:dyDescent="0.25">
      <c r="A16" s="12" t="s">
        <v>13</v>
      </c>
      <c r="B16" s="18" t="s">
        <v>24</v>
      </c>
      <c r="D16" s="9">
        <v>0</v>
      </c>
      <c r="E16" s="13">
        <f t="shared" ref="E16:L16" si="0">E3/(1+$D$16/100)/$A$13</f>
        <v>1.0839860748476935</v>
      </c>
      <c r="F16" s="13">
        <f t="shared" si="0"/>
        <v>1.1751933735344102</v>
      </c>
      <c r="G16" s="13">
        <f t="shared" si="0"/>
        <v>1.266400672221127</v>
      </c>
      <c r="H16" s="13">
        <f t="shared" si="0"/>
        <v>1.3576079709078439</v>
      </c>
      <c r="I16" s="13">
        <f t="shared" si="0"/>
        <v>1.4488152695945606</v>
      </c>
      <c r="J16" s="13">
        <f t="shared" si="0"/>
        <v>1.5400225682812776</v>
      </c>
      <c r="K16" s="13">
        <f t="shared" si="0"/>
        <v>1.6312298669679943</v>
      </c>
      <c r="L16" s="13">
        <f t="shared" si="0"/>
        <v>1.7224371656547113</v>
      </c>
      <c r="N16" s="9">
        <v>0</v>
      </c>
      <c r="O16" s="13">
        <f>O3/(2+$D$16/100)/$A$13</f>
        <v>0.54199303742384675</v>
      </c>
      <c r="P16" s="13">
        <f t="shared" ref="P16:U16" si="1">P3/(2+$D$16/100)/$A$13</f>
        <v>0.58759668676720511</v>
      </c>
      <c r="Q16" s="13">
        <f t="shared" si="1"/>
        <v>0.63320033611056348</v>
      </c>
      <c r="R16" s="13">
        <f t="shared" si="1"/>
        <v>0.67880398545392195</v>
      </c>
      <c r="S16" s="13">
        <f t="shared" si="1"/>
        <v>0.72440763479728032</v>
      </c>
      <c r="T16" s="13">
        <f t="shared" si="1"/>
        <v>0.7700112841406388</v>
      </c>
      <c r="U16" s="13">
        <f t="shared" si="1"/>
        <v>0.81561493348399716</v>
      </c>
      <c r="V16" s="13">
        <f>V3/(2+$D$16/100)/$A$13</f>
        <v>0.86121858282735564</v>
      </c>
    </row>
    <row r="17" spans="1:22" x14ac:dyDescent="0.25">
      <c r="A17" s="9">
        <v>8</v>
      </c>
      <c r="B17" s="19">
        <v>7.5361000000000002</v>
      </c>
      <c r="D17" s="9">
        <v>1</v>
      </c>
      <c r="E17" s="13">
        <f t="shared" ref="E17:E26" si="2">E4/(1+D17/100)/$A$13</f>
        <v>0.98373637962412586</v>
      </c>
      <c r="F17" s="13">
        <f t="shared" ref="F17:F26" si="3">F4/(1+D17/100)/$A$13</f>
        <v>1.0442015824732429</v>
      </c>
      <c r="G17" s="13">
        <f t="shared" ref="G17:G26" si="4">G4/(1+D17/100)/$A$13</f>
        <v>1.10466678532236</v>
      </c>
      <c r="H17" s="13">
        <f t="shared" ref="H17:H26" si="5">H4/(1+D17/100)/$A$13</f>
        <v>1.1651319881714766</v>
      </c>
      <c r="I17" s="13">
        <f t="shared" ref="I17:I26" si="6">I4/(1+D17/100)/$A$13</f>
        <v>1.2255971910205934</v>
      </c>
      <c r="J17" s="13">
        <f t="shared" ref="J17:J26" si="7">J4/(1+D17/100)/$A$13</f>
        <v>1.2860623938697102</v>
      </c>
      <c r="K17" s="13">
        <f t="shared" ref="K17:K26" si="8">K4/(1+D17/100)/$A$13</f>
        <v>1.3465275967188273</v>
      </c>
      <c r="L17" s="13">
        <f t="shared" ref="L17:L26" si="9">L4/(1+D17/100)/$A$13</f>
        <v>1.4069927995679441</v>
      </c>
      <c r="N17" s="9">
        <v>1</v>
      </c>
      <c r="O17" s="13">
        <f>O4/(2+N17/100)/$A$13</f>
        <v>0.49431529523401363</v>
      </c>
      <c r="P17" s="13">
        <f>P4/(2+N17/100)/$A$13</f>
        <v>0.52469830761093306</v>
      </c>
      <c r="Q17" s="13">
        <f>Q4/(2+N17/100)/$A$13</f>
        <v>0.55508131998785248</v>
      </c>
      <c r="R17" s="13">
        <f>R4/(2+N17/100)/$A$13</f>
        <v>0.58546433236477191</v>
      </c>
      <c r="S17" s="13">
        <f>S4/(2+N17/100)/$A$13</f>
        <v>0.61584734474169134</v>
      </c>
      <c r="T17" s="13">
        <f>T4/(2+N17/100)/$A$13</f>
        <v>0.64623035711861077</v>
      </c>
      <c r="U17" s="13">
        <f>U4/(2+N17/100)/$A$13</f>
        <v>0.67661336949553019</v>
      </c>
      <c r="V17" s="13">
        <f>V4/(2+N17/100)/$A$13</f>
        <v>0.70699638187244973</v>
      </c>
    </row>
    <row r="18" spans="1:22" x14ac:dyDescent="0.25">
      <c r="A18" s="9">
        <v>7</v>
      </c>
      <c r="B18" s="19">
        <v>7.9427000000000003</v>
      </c>
      <c r="D18" s="9">
        <v>2</v>
      </c>
      <c r="E18" s="13">
        <f t="shared" si="2"/>
        <v>0.97409190531408552</v>
      </c>
      <c r="F18" s="13">
        <f t="shared" si="3"/>
        <v>1.0339643120568385</v>
      </c>
      <c r="G18" s="13">
        <f t="shared" si="4"/>
        <v>1.0938367187995917</v>
      </c>
      <c r="H18" s="13">
        <f t="shared" si="5"/>
        <v>1.1537091255423446</v>
      </c>
      <c r="I18" s="13">
        <f t="shared" si="6"/>
        <v>1.2135815322850974</v>
      </c>
      <c r="J18" s="13">
        <f t="shared" si="7"/>
        <v>1.2734539390278505</v>
      </c>
      <c r="K18" s="13">
        <f t="shared" si="8"/>
        <v>1.3333263457706035</v>
      </c>
      <c r="L18" s="13">
        <f t="shared" si="9"/>
        <v>1.3931987525133567</v>
      </c>
      <c r="N18" s="9">
        <v>2</v>
      </c>
      <c r="O18" s="13">
        <f t="shared" ref="O18:O26" si="10">O5/(2+N18/100)/$A$13</f>
        <v>0.49186818981206293</v>
      </c>
      <c r="P18" s="13">
        <f t="shared" ref="P18:P26" si="11">P5/(2+N18/100)/$A$13</f>
        <v>0.52210079123662145</v>
      </c>
      <c r="Q18" s="13">
        <f t="shared" ref="Q18:Q26" si="12">Q5/(2+N18/100)/$A$13</f>
        <v>0.55233339266117998</v>
      </c>
      <c r="R18" s="13">
        <f t="shared" ref="R18:R26" si="13">R5/(2+N18/100)/$A$13</f>
        <v>0.58256599408573828</v>
      </c>
      <c r="S18" s="13">
        <f t="shared" ref="S18:S26" si="14">S5/(2+N18/100)/$A$13</f>
        <v>0.6127985955102967</v>
      </c>
      <c r="T18" s="13">
        <f t="shared" ref="T18:T26" si="15">T5/(2+N18/100)/$A$13</f>
        <v>0.64303119693485511</v>
      </c>
      <c r="U18" s="13">
        <f t="shared" ref="U18:U26" si="16">U5/(2+N18/100)/$A$13</f>
        <v>0.67326379835941363</v>
      </c>
      <c r="V18" s="13">
        <f t="shared" ref="V18:V26" si="17">V5/(2+N18/100)/$A$13</f>
        <v>0.70349639978397205</v>
      </c>
    </row>
    <row r="19" spans="1:22" x14ac:dyDescent="0.25">
      <c r="A19" s="9">
        <v>6</v>
      </c>
      <c r="B19" s="19">
        <v>8.3838000000000008</v>
      </c>
      <c r="D19" s="9">
        <v>3</v>
      </c>
      <c r="E19" s="13">
        <f t="shared" si="2"/>
        <v>0.96463470234987114</v>
      </c>
      <c r="F19" s="13">
        <f t="shared" si="3"/>
        <v>1.0239258235902673</v>
      </c>
      <c r="G19" s="13">
        <f t="shared" si="4"/>
        <v>1.0832169448306637</v>
      </c>
      <c r="H19" s="13">
        <f t="shared" si="5"/>
        <v>1.1425080660710596</v>
      </c>
      <c r="I19" s="13">
        <f t="shared" si="6"/>
        <v>1.2017991873114557</v>
      </c>
      <c r="J19" s="13">
        <f t="shared" si="7"/>
        <v>1.2610903085518519</v>
      </c>
      <c r="K19" s="13">
        <f t="shared" si="8"/>
        <v>1.320381429792248</v>
      </c>
      <c r="L19" s="13">
        <f t="shared" si="9"/>
        <v>1.3796725510326444</v>
      </c>
      <c r="N19" s="9">
        <v>3</v>
      </c>
      <c r="O19" s="13">
        <f t="shared" si="10"/>
        <v>0.48944519380313661</v>
      </c>
      <c r="P19" s="13">
        <f t="shared" si="11"/>
        <v>0.51952886615663818</v>
      </c>
      <c r="Q19" s="13">
        <f t="shared" si="12"/>
        <v>0.54961253851013969</v>
      </c>
      <c r="R19" s="13">
        <f t="shared" si="13"/>
        <v>0.5796962108636412</v>
      </c>
      <c r="S19" s="13">
        <f t="shared" si="14"/>
        <v>0.6097798832171426</v>
      </c>
      <c r="T19" s="13">
        <f t="shared" si="15"/>
        <v>0.63986355557064412</v>
      </c>
      <c r="U19" s="13">
        <f t="shared" si="16"/>
        <v>0.66994722792414563</v>
      </c>
      <c r="V19" s="13">
        <f t="shared" si="17"/>
        <v>0.70003090027764725</v>
      </c>
    </row>
    <row r="20" spans="1:22" x14ac:dyDescent="0.25">
      <c r="A20" s="9">
        <v>5</v>
      </c>
      <c r="B20" s="19">
        <v>8.8633000000000006</v>
      </c>
      <c r="D20" s="9">
        <v>4</v>
      </c>
      <c r="E20" s="13">
        <f t="shared" si="2"/>
        <v>0.95535936867342997</v>
      </c>
      <c r="F20" s="13">
        <f t="shared" si="3"/>
        <v>1.0140803829788225</v>
      </c>
      <c r="G20" s="13">
        <f t="shared" si="4"/>
        <v>1.0728013972842148</v>
      </c>
      <c r="H20" s="13">
        <f t="shared" si="5"/>
        <v>1.131522411589607</v>
      </c>
      <c r="I20" s="13">
        <f t="shared" si="6"/>
        <v>1.1902434258949994</v>
      </c>
      <c r="J20" s="13">
        <f t="shared" si="7"/>
        <v>1.2489644402003919</v>
      </c>
      <c r="K20" s="13">
        <f t="shared" si="8"/>
        <v>1.3076854545057841</v>
      </c>
      <c r="L20" s="13">
        <f t="shared" si="9"/>
        <v>1.3664064688111766</v>
      </c>
      <c r="N20" s="9">
        <v>4</v>
      </c>
      <c r="O20" s="13">
        <f t="shared" si="10"/>
        <v>0.48704595265704276</v>
      </c>
      <c r="P20" s="13">
        <f t="shared" si="11"/>
        <v>0.51698215602841924</v>
      </c>
      <c r="Q20" s="13">
        <f t="shared" si="12"/>
        <v>0.54691835939979583</v>
      </c>
      <c r="R20" s="13">
        <f t="shared" si="13"/>
        <v>0.57685456277117231</v>
      </c>
      <c r="S20" s="13">
        <f t="shared" si="14"/>
        <v>0.60679076614254868</v>
      </c>
      <c r="T20" s="13">
        <f t="shared" si="15"/>
        <v>0.63672696951392527</v>
      </c>
      <c r="U20" s="13">
        <f t="shared" si="16"/>
        <v>0.66666317288530175</v>
      </c>
      <c r="V20" s="13">
        <f t="shared" si="17"/>
        <v>0.69659937625667834</v>
      </c>
    </row>
    <row r="21" spans="1:22" x14ac:dyDescent="0.25">
      <c r="A21" s="9">
        <v>4</v>
      </c>
      <c r="B21" s="19">
        <v>9.3850999999999996</v>
      </c>
      <c r="D21" s="9">
        <v>5</v>
      </c>
      <c r="E21" s="13">
        <f t="shared" si="2"/>
        <v>0.94626070801939732</v>
      </c>
      <c r="F21" s="13">
        <f t="shared" si="3"/>
        <v>1.0044224745695003</v>
      </c>
      <c r="G21" s="13">
        <f t="shared" si="4"/>
        <v>1.0625842411196031</v>
      </c>
      <c r="H21" s="13">
        <f t="shared" si="5"/>
        <v>1.120746007669706</v>
      </c>
      <c r="I21" s="13">
        <f t="shared" si="6"/>
        <v>1.1789077742198089</v>
      </c>
      <c r="J21" s="13">
        <f t="shared" si="7"/>
        <v>1.2370695407699117</v>
      </c>
      <c r="K21" s="13">
        <f t="shared" si="8"/>
        <v>1.2952313073200148</v>
      </c>
      <c r="L21" s="13">
        <f t="shared" si="9"/>
        <v>1.3533930738701179</v>
      </c>
      <c r="N21" s="9">
        <v>5</v>
      </c>
      <c r="O21" s="13">
        <f t="shared" si="10"/>
        <v>0.48467011874164256</v>
      </c>
      <c r="P21" s="13">
        <f t="shared" si="11"/>
        <v>0.51446029185267095</v>
      </c>
      <c r="Q21" s="13">
        <f t="shared" si="12"/>
        <v>0.54425046496369922</v>
      </c>
      <c r="R21" s="13">
        <f t="shared" si="13"/>
        <v>0.5740406380747276</v>
      </c>
      <c r="S21" s="13">
        <f t="shared" si="14"/>
        <v>0.60383081118575588</v>
      </c>
      <c r="T21" s="13">
        <f t="shared" si="15"/>
        <v>0.63362098429678426</v>
      </c>
      <c r="U21" s="13">
        <f t="shared" si="16"/>
        <v>0.66341115740781254</v>
      </c>
      <c r="V21" s="13">
        <f t="shared" si="17"/>
        <v>0.69320133051884092</v>
      </c>
    </row>
    <row r="22" spans="1:22" x14ac:dyDescent="0.25">
      <c r="A22" s="9">
        <v>3</v>
      </c>
      <c r="B22" s="19">
        <v>9.9540000000000006</v>
      </c>
      <c r="D22" s="9">
        <v>6</v>
      </c>
      <c r="E22" s="13">
        <f t="shared" si="2"/>
        <v>0.93733372020789352</v>
      </c>
      <c r="F22" s="13">
        <f t="shared" si="3"/>
        <v>0.99494679084714654</v>
      </c>
      <c r="G22" s="13">
        <f t="shared" si="4"/>
        <v>1.0525598614863994</v>
      </c>
      <c r="H22" s="13">
        <f t="shared" si="5"/>
        <v>1.1101729321256522</v>
      </c>
      <c r="I22" s="13">
        <f t="shared" si="6"/>
        <v>1.167786002764905</v>
      </c>
      <c r="J22" s="13">
        <f t="shared" si="7"/>
        <v>1.225399073404158</v>
      </c>
      <c r="K22" s="13">
        <f t="shared" si="8"/>
        <v>1.2830121440434108</v>
      </c>
      <c r="L22" s="13">
        <f t="shared" si="9"/>
        <v>1.3406252146826638</v>
      </c>
      <c r="N22" s="9">
        <v>6</v>
      </c>
      <c r="O22" s="13">
        <f t="shared" si="10"/>
        <v>0.48231735117493557</v>
      </c>
      <c r="P22" s="13">
        <f t="shared" si="11"/>
        <v>0.51196291179513365</v>
      </c>
      <c r="Q22" s="13">
        <f t="shared" si="12"/>
        <v>0.54160847241533183</v>
      </c>
      <c r="R22" s="13">
        <f t="shared" si="13"/>
        <v>0.5712540330355298</v>
      </c>
      <c r="S22" s="13">
        <f t="shared" si="14"/>
        <v>0.60089959365572787</v>
      </c>
      <c r="T22" s="13">
        <f t="shared" si="15"/>
        <v>0.63054515427592595</v>
      </c>
      <c r="U22" s="13">
        <f t="shared" si="16"/>
        <v>0.66019071489612402</v>
      </c>
      <c r="V22" s="13">
        <f t="shared" si="17"/>
        <v>0.68983627551632221</v>
      </c>
    </row>
    <row r="23" spans="1:22" x14ac:dyDescent="0.25">
      <c r="A23" s="9">
        <v>2</v>
      </c>
      <c r="B23" s="19">
        <v>10.5753</v>
      </c>
      <c r="D23" s="9">
        <v>7</v>
      </c>
      <c r="E23" s="13">
        <f t="shared" si="2"/>
        <v>0.92857359198165157</v>
      </c>
      <c r="F23" s="13">
        <f t="shared" si="3"/>
        <v>0.98564822270838814</v>
      </c>
      <c r="G23" s="13">
        <f t="shared" si="4"/>
        <v>1.0427228534351247</v>
      </c>
      <c r="H23" s="13">
        <f t="shared" si="5"/>
        <v>1.099797484161861</v>
      </c>
      <c r="I23" s="13">
        <f t="shared" si="6"/>
        <v>1.1568721148885974</v>
      </c>
      <c r="J23" s="13">
        <f t="shared" si="7"/>
        <v>1.2139467456153339</v>
      </c>
      <c r="K23" s="13">
        <f t="shared" si="8"/>
        <v>1.2710213763420706</v>
      </c>
      <c r="L23" s="13">
        <f t="shared" si="9"/>
        <v>1.328096007068807</v>
      </c>
      <c r="N23" s="9">
        <v>7</v>
      </c>
      <c r="O23" s="13">
        <f t="shared" si="10"/>
        <v>0.47998731566201319</v>
      </c>
      <c r="P23" s="13">
        <f t="shared" si="11"/>
        <v>0.50948966101351467</v>
      </c>
      <c r="Q23" s="13">
        <f t="shared" si="12"/>
        <v>0.53899200636501621</v>
      </c>
      <c r="R23" s="13">
        <f t="shared" si="13"/>
        <v>0.56849435171651763</v>
      </c>
      <c r="S23" s="13">
        <f t="shared" si="14"/>
        <v>0.59799669706801906</v>
      </c>
      <c r="T23" s="13">
        <f t="shared" si="15"/>
        <v>0.62749904241952059</v>
      </c>
      <c r="U23" s="13">
        <f t="shared" si="16"/>
        <v>0.65700138777102202</v>
      </c>
      <c r="V23" s="13">
        <f t="shared" si="17"/>
        <v>0.68650373312252355</v>
      </c>
    </row>
    <row r="24" spans="1:22" x14ac:dyDescent="0.25">
      <c r="A24" s="9">
        <v>1</v>
      </c>
      <c r="B24" s="19">
        <v>11.255100000000001</v>
      </c>
      <c r="D24" s="9">
        <v>8</v>
      </c>
      <c r="E24" s="13">
        <f t="shared" si="2"/>
        <v>0.9199756883521919</v>
      </c>
      <c r="F24" s="13">
        <f t="shared" si="3"/>
        <v>0.97652185027590299</v>
      </c>
      <c r="G24" s="13">
        <f t="shared" si="4"/>
        <v>1.0330680121996143</v>
      </c>
      <c r="H24" s="13">
        <f t="shared" si="5"/>
        <v>1.0896141741233254</v>
      </c>
      <c r="I24" s="13">
        <f t="shared" si="6"/>
        <v>1.1461603360470365</v>
      </c>
      <c r="J24" s="13">
        <f t="shared" si="7"/>
        <v>1.2027064979707476</v>
      </c>
      <c r="K24" s="13">
        <f t="shared" si="8"/>
        <v>1.2592526598944587</v>
      </c>
      <c r="L24" s="13">
        <f t="shared" si="9"/>
        <v>1.31579882181817</v>
      </c>
      <c r="N24" s="9">
        <v>8</v>
      </c>
      <c r="O24" s="13">
        <f t="shared" si="10"/>
        <v>0.47767968433671498</v>
      </c>
      <c r="P24" s="13">
        <f t="shared" si="11"/>
        <v>0.50704019148941126</v>
      </c>
      <c r="Q24" s="13">
        <f t="shared" si="12"/>
        <v>0.53640069864210738</v>
      </c>
      <c r="R24" s="13">
        <f t="shared" si="13"/>
        <v>0.56576120579480349</v>
      </c>
      <c r="S24" s="13">
        <f t="shared" si="14"/>
        <v>0.59512171294749971</v>
      </c>
      <c r="T24" s="13">
        <f t="shared" si="15"/>
        <v>0.62448222010019594</v>
      </c>
      <c r="U24" s="13">
        <f t="shared" si="16"/>
        <v>0.65384272725289205</v>
      </c>
      <c r="V24" s="13">
        <f t="shared" si="17"/>
        <v>0.68320323440558828</v>
      </c>
    </row>
    <row r="25" spans="1:22" x14ac:dyDescent="0.25">
      <c r="A25" s="9">
        <v>0</v>
      </c>
      <c r="B25" s="19">
        <v>12</v>
      </c>
      <c r="D25" s="9">
        <v>9</v>
      </c>
      <c r="E25" s="13">
        <f t="shared" si="2"/>
        <v>0.91153554442235507</v>
      </c>
      <c r="F25" s="13">
        <f t="shared" si="3"/>
        <v>0.96756293421832595</v>
      </c>
      <c r="G25" s="13">
        <f t="shared" si="4"/>
        <v>1.0235903240142967</v>
      </c>
      <c r="H25" s="13">
        <f t="shared" si="5"/>
        <v>1.0796177138102674</v>
      </c>
      <c r="I25" s="13">
        <f t="shared" si="6"/>
        <v>1.1356451036062378</v>
      </c>
      <c r="J25" s="13">
        <f t="shared" si="7"/>
        <v>1.1916724934022085</v>
      </c>
      <c r="K25" s="13">
        <f t="shared" si="8"/>
        <v>1.2476998831981794</v>
      </c>
      <c r="L25" s="13">
        <f t="shared" si="9"/>
        <v>1.30372727299415</v>
      </c>
      <c r="N25" s="9">
        <v>9</v>
      </c>
      <c r="O25" s="13">
        <f t="shared" si="10"/>
        <v>0.47539413560783123</v>
      </c>
      <c r="P25" s="13">
        <f t="shared" si="11"/>
        <v>0.50461416186506003</v>
      </c>
      <c r="Q25" s="13">
        <f t="shared" si="12"/>
        <v>0.53383418812228878</v>
      </c>
      <c r="R25" s="13">
        <f t="shared" si="13"/>
        <v>0.56305421437951753</v>
      </c>
      <c r="S25" s="13">
        <f t="shared" si="14"/>
        <v>0.59227424063674616</v>
      </c>
      <c r="T25" s="13">
        <f t="shared" si="15"/>
        <v>0.62149426689397491</v>
      </c>
      <c r="U25" s="13">
        <f t="shared" si="16"/>
        <v>0.65071429315120366</v>
      </c>
      <c r="V25" s="13">
        <f t="shared" si="17"/>
        <v>0.67993431940843252</v>
      </c>
    </row>
    <row r="26" spans="1:22" x14ac:dyDescent="0.25">
      <c r="A26" s="31" t="s">
        <v>25</v>
      </c>
      <c r="B26" s="31"/>
      <c r="D26" s="9">
        <v>10</v>
      </c>
      <c r="E26" s="13">
        <f t="shared" si="2"/>
        <v>0.90324885765487928</v>
      </c>
      <c r="F26" s="13">
        <f t="shared" si="3"/>
        <v>0.95876690754361382</v>
      </c>
      <c r="G26" s="13">
        <f t="shared" si="4"/>
        <v>1.0142849574323485</v>
      </c>
      <c r="H26" s="13">
        <f t="shared" si="5"/>
        <v>1.0698030073210831</v>
      </c>
      <c r="I26" s="13">
        <f t="shared" si="6"/>
        <v>1.1253210572098176</v>
      </c>
      <c r="J26" s="13">
        <f t="shared" si="7"/>
        <v>1.1808391070985522</v>
      </c>
      <c r="K26" s="13">
        <f t="shared" si="8"/>
        <v>1.2363571569872867</v>
      </c>
      <c r="L26" s="13">
        <f t="shared" si="9"/>
        <v>1.2918752068760215</v>
      </c>
      <c r="N26" s="9">
        <v>10</v>
      </c>
      <c r="O26" s="13">
        <f t="shared" si="10"/>
        <v>0.47313035400969866</v>
      </c>
      <c r="P26" s="13">
        <f t="shared" si="11"/>
        <v>0.50221123728475014</v>
      </c>
      <c r="Q26" s="13">
        <f t="shared" si="12"/>
        <v>0.53129212055980157</v>
      </c>
      <c r="R26" s="13">
        <f t="shared" si="13"/>
        <v>0.560373003834853</v>
      </c>
      <c r="S26" s="13">
        <f t="shared" si="14"/>
        <v>0.58945388710990443</v>
      </c>
      <c r="T26" s="13">
        <f t="shared" si="15"/>
        <v>0.61853477038495586</v>
      </c>
      <c r="U26" s="13">
        <f t="shared" si="16"/>
        <v>0.6476156536600074</v>
      </c>
      <c r="V26" s="13">
        <f t="shared" si="17"/>
        <v>0.67669653693505893</v>
      </c>
    </row>
    <row r="27" spans="1:22" x14ac:dyDescent="0.25">
      <c r="A27" s="32">
        <v>11.255100000000001</v>
      </c>
      <c r="B27" s="32"/>
    </row>
    <row r="28" spans="1:22" x14ac:dyDescent="0.25">
      <c r="A28" s="9"/>
      <c r="B28" s="19"/>
    </row>
    <row r="29" spans="1:22" x14ac:dyDescent="0.25">
      <c r="A29" s="9"/>
      <c r="B29" s="19"/>
      <c r="D29" s="36" t="s">
        <v>15</v>
      </c>
      <c r="E29" s="36"/>
      <c r="F29" s="36"/>
      <c r="G29" s="36"/>
      <c r="H29" s="36"/>
      <c r="I29" s="36"/>
      <c r="J29" s="36"/>
      <c r="K29" s="36"/>
      <c r="L29" s="36"/>
      <c r="M29" s="14"/>
      <c r="N29" s="35" t="s">
        <v>16</v>
      </c>
      <c r="O29" s="35"/>
      <c r="P29" s="35"/>
      <c r="Q29" s="35"/>
      <c r="R29" s="35"/>
      <c r="S29" s="35"/>
      <c r="T29" s="35"/>
      <c r="U29" s="35"/>
      <c r="V29" s="35"/>
    </row>
    <row r="30" spans="1:22" x14ac:dyDescent="0.25">
      <c r="A30" s="9"/>
      <c r="B30" s="19"/>
      <c r="E30" s="38" t="s">
        <v>20</v>
      </c>
      <c r="F30" s="38"/>
      <c r="G30" s="38"/>
      <c r="H30" s="38"/>
      <c r="I30" s="38"/>
      <c r="J30" s="38"/>
      <c r="K30" s="38"/>
      <c r="L30" s="38"/>
      <c r="M30" s="14"/>
      <c r="O30" s="37" t="s">
        <v>21</v>
      </c>
      <c r="P30" s="37"/>
      <c r="Q30" s="37"/>
      <c r="R30" s="37"/>
      <c r="S30" s="37"/>
      <c r="T30" s="37"/>
      <c r="U30" s="37"/>
      <c r="V30" s="37"/>
    </row>
    <row r="31" spans="1:22" x14ac:dyDescent="0.25">
      <c r="A31" s="9"/>
      <c r="B31" s="19"/>
      <c r="D31" s="15"/>
      <c r="E31" s="15">
        <v>3</v>
      </c>
      <c r="F31" s="15">
        <v>4</v>
      </c>
      <c r="G31" s="15">
        <v>5</v>
      </c>
      <c r="H31" s="15">
        <v>6</v>
      </c>
      <c r="I31" s="15">
        <v>7</v>
      </c>
      <c r="J31" s="15">
        <v>8</v>
      </c>
      <c r="K31" s="15">
        <v>9</v>
      </c>
      <c r="L31" s="15">
        <v>10</v>
      </c>
      <c r="M31" s="14"/>
      <c r="N31" s="16"/>
      <c r="O31" s="16">
        <v>3</v>
      </c>
      <c r="P31" s="16">
        <v>4</v>
      </c>
      <c r="Q31" s="16">
        <v>5</v>
      </c>
      <c r="R31" s="16">
        <v>6</v>
      </c>
      <c r="S31" s="16">
        <v>7</v>
      </c>
      <c r="T31" s="16">
        <v>8</v>
      </c>
      <c r="U31" s="16">
        <v>9</v>
      </c>
      <c r="V31" s="16">
        <v>10</v>
      </c>
    </row>
    <row r="32" spans="1:22" x14ac:dyDescent="0.25">
      <c r="A32" s="9"/>
      <c r="B32" s="19"/>
      <c r="C32" s="33" t="s">
        <v>22</v>
      </c>
      <c r="D32" s="10">
        <v>0</v>
      </c>
      <c r="E32" s="15">
        <f>E16</f>
        <v>1.0839860748476935</v>
      </c>
      <c r="F32" s="15">
        <f t="shared" ref="F32:L32" si="18">F16</f>
        <v>1.1751933735344102</v>
      </c>
      <c r="G32" s="15">
        <f t="shared" si="18"/>
        <v>1.266400672221127</v>
      </c>
      <c r="H32" s="15">
        <f t="shared" si="18"/>
        <v>1.3576079709078439</v>
      </c>
      <c r="I32" s="15">
        <f t="shared" si="18"/>
        <v>1.4488152695945606</v>
      </c>
      <c r="J32" s="15">
        <f t="shared" si="18"/>
        <v>1.5400225682812776</v>
      </c>
      <c r="K32" s="15">
        <f t="shared" si="18"/>
        <v>1.6312298669679943</v>
      </c>
      <c r="L32" s="15">
        <f t="shared" si="18"/>
        <v>1.7224371656547113</v>
      </c>
      <c r="M32" s="34" t="s">
        <v>22</v>
      </c>
      <c r="N32" s="11">
        <v>0</v>
      </c>
      <c r="O32" s="16">
        <f>O16</f>
        <v>0.54199303742384675</v>
      </c>
      <c r="P32" s="16">
        <f t="shared" ref="P32:V32" si="19">P16</f>
        <v>0.58759668676720511</v>
      </c>
      <c r="Q32" s="16">
        <f t="shared" si="19"/>
        <v>0.63320033611056348</v>
      </c>
      <c r="R32" s="16">
        <f t="shared" si="19"/>
        <v>0.67880398545392195</v>
      </c>
      <c r="S32" s="16">
        <f t="shared" si="19"/>
        <v>0.72440763479728032</v>
      </c>
      <c r="T32" s="16">
        <f t="shared" si="19"/>
        <v>0.7700112841406388</v>
      </c>
      <c r="U32" s="16">
        <f t="shared" si="19"/>
        <v>0.81561493348399716</v>
      </c>
      <c r="V32" s="16">
        <f t="shared" si="19"/>
        <v>0.86121858282735564</v>
      </c>
    </row>
    <row r="33" spans="1:22" x14ac:dyDescent="0.25">
      <c r="A33" s="9"/>
      <c r="B33" s="19"/>
      <c r="C33" s="33"/>
      <c r="D33" s="10">
        <v>1</v>
      </c>
      <c r="E33" s="15">
        <f t="shared" ref="E33:L42" si="20">E17</f>
        <v>0.98373637962412586</v>
      </c>
      <c r="F33" s="15">
        <f t="shared" si="20"/>
        <v>1.0442015824732429</v>
      </c>
      <c r="G33" s="15">
        <f t="shared" si="20"/>
        <v>1.10466678532236</v>
      </c>
      <c r="H33" s="15">
        <f t="shared" si="20"/>
        <v>1.1651319881714766</v>
      </c>
      <c r="I33" s="15">
        <f t="shared" si="20"/>
        <v>1.2255971910205934</v>
      </c>
      <c r="J33" s="15">
        <f t="shared" si="20"/>
        <v>1.2860623938697102</v>
      </c>
      <c r="K33" s="15">
        <f t="shared" si="20"/>
        <v>1.3465275967188273</v>
      </c>
      <c r="L33" s="15">
        <f t="shared" si="20"/>
        <v>1.4069927995679441</v>
      </c>
      <c r="M33" s="34"/>
      <c r="N33" s="11">
        <v>1</v>
      </c>
      <c r="O33" s="16">
        <f t="shared" ref="O33:V42" si="21">O17</f>
        <v>0.49431529523401363</v>
      </c>
      <c r="P33" s="16">
        <f t="shared" si="21"/>
        <v>0.52469830761093306</v>
      </c>
      <c r="Q33" s="16">
        <f t="shared" si="21"/>
        <v>0.55508131998785248</v>
      </c>
      <c r="R33" s="16">
        <f t="shared" si="21"/>
        <v>0.58546433236477191</v>
      </c>
      <c r="S33" s="16">
        <f t="shared" si="21"/>
        <v>0.61584734474169134</v>
      </c>
      <c r="T33" s="16">
        <f t="shared" si="21"/>
        <v>0.64623035711861077</v>
      </c>
      <c r="U33" s="16">
        <f t="shared" si="21"/>
        <v>0.67661336949553019</v>
      </c>
      <c r="V33" s="16">
        <f t="shared" si="21"/>
        <v>0.70699638187244973</v>
      </c>
    </row>
    <row r="34" spans="1:22" x14ac:dyDescent="0.25">
      <c r="A34" s="9"/>
      <c r="B34" s="19"/>
      <c r="C34" s="33"/>
      <c r="D34" s="10">
        <v>2</v>
      </c>
      <c r="E34" s="15">
        <f t="shared" si="20"/>
        <v>0.97409190531408552</v>
      </c>
      <c r="F34" s="15">
        <f t="shared" si="20"/>
        <v>1.0339643120568385</v>
      </c>
      <c r="G34" s="15">
        <f t="shared" si="20"/>
        <v>1.0938367187995917</v>
      </c>
      <c r="H34" s="15">
        <f t="shared" si="20"/>
        <v>1.1537091255423446</v>
      </c>
      <c r="I34" s="15">
        <f t="shared" si="20"/>
        <v>1.2135815322850974</v>
      </c>
      <c r="J34" s="15">
        <f t="shared" si="20"/>
        <v>1.2734539390278505</v>
      </c>
      <c r="K34" s="15">
        <f t="shared" si="20"/>
        <v>1.3333263457706035</v>
      </c>
      <c r="L34" s="15">
        <f t="shared" si="20"/>
        <v>1.3931987525133567</v>
      </c>
      <c r="M34" s="34"/>
      <c r="N34" s="11">
        <v>2</v>
      </c>
      <c r="O34" s="16">
        <f t="shared" si="21"/>
        <v>0.49186818981206293</v>
      </c>
      <c r="P34" s="16">
        <f t="shared" si="21"/>
        <v>0.52210079123662145</v>
      </c>
      <c r="Q34" s="16">
        <f t="shared" si="21"/>
        <v>0.55233339266117998</v>
      </c>
      <c r="R34" s="16">
        <f t="shared" si="21"/>
        <v>0.58256599408573828</v>
      </c>
      <c r="S34" s="16">
        <f t="shared" si="21"/>
        <v>0.6127985955102967</v>
      </c>
      <c r="T34" s="16">
        <f t="shared" si="21"/>
        <v>0.64303119693485511</v>
      </c>
      <c r="U34" s="16">
        <f t="shared" si="21"/>
        <v>0.67326379835941363</v>
      </c>
      <c r="V34" s="16">
        <f t="shared" si="21"/>
        <v>0.70349639978397205</v>
      </c>
    </row>
    <row r="35" spans="1:22" x14ac:dyDescent="0.25">
      <c r="A35" s="9"/>
      <c r="B35" s="19"/>
      <c r="C35" s="33"/>
      <c r="D35" s="10">
        <v>3</v>
      </c>
      <c r="E35" s="15">
        <f t="shared" si="20"/>
        <v>0.96463470234987114</v>
      </c>
      <c r="F35" s="15">
        <f t="shared" si="20"/>
        <v>1.0239258235902673</v>
      </c>
      <c r="G35" s="15">
        <f t="shared" si="20"/>
        <v>1.0832169448306637</v>
      </c>
      <c r="H35" s="15">
        <f t="shared" si="20"/>
        <v>1.1425080660710596</v>
      </c>
      <c r="I35" s="15">
        <f t="shared" si="20"/>
        <v>1.2017991873114557</v>
      </c>
      <c r="J35" s="15">
        <f t="shared" si="20"/>
        <v>1.2610903085518519</v>
      </c>
      <c r="K35" s="15">
        <f t="shared" si="20"/>
        <v>1.320381429792248</v>
      </c>
      <c r="L35" s="15">
        <f t="shared" si="20"/>
        <v>1.3796725510326444</v>
      </c>
      <c r="M35" s="34"/>
      <c r="N35" s="11">
        <v>3</v>
      </c>
      <c r="O35" s="16">
        <f t="shared" si="21"/>
        <v>0.48944519380313661</v>
      </c>
      <c r="P35" s="16">
        <f t="shared" si="21"/>
        <v>0.51952886615663818</v>
      </c>
      <c r="Q35" s="16">
        <f t="shared" si="21"/>
        <v>0.54961253851013969</v>
      </c>
      <c r="R35" s="16">
        <f t="shared" si="21"/>
        <v>0.5796962108636412</v>
      </c>
      <c r="S35" s="16">
        <f t="shared" si="21"/>
        <v>0.6097798832171426</v>
      </c>
      <c r="T35" s="16">
        <f t="shared" si="21"/>
        <v>0.63986355557064412</v>
      </c>
      <c r="U35" s="16">
        <f t="shared" si="21"/>
        <v>0.66994722792414563</v>
      </c>
      <c r="V35" s="16">
        <f t="shared" si="21"/>
        <v>0.70003090027764725</v>
      </c>
    </row>
    <row r="36" spans="1:22" x14ac:dyDescent="0.25">
      <c r="A36" s="9"/>
      <c r="B36" s="19"/>
      <c r="C36" s="33"/>
      <c r="D36" s="10">
        <v>4</v>
      </c>
      <c r="E36" s="15">
        <f t="shared" si="20"/>
        <v>0.95535936867342997</v>
      </c>
      <c r="F36" s="15">
        <f t="shared" si="20"/>
        <v>1.0140803829788225</v>
      </c>
      <c r="G36" s="15">
        <f t="shared" si="20"/>
        <v>1.0728013972842148</v>
      </c>
      <c r="H36" s="15">
        <f t="shared" si="20"/>
        <v>1.131522411589607</v>
      </c>
      <c r="I36" s="15">
        <f t="shared" si="20"/>
        <v>1.1902434258949994</v>
      </c>
      <c r="J36" s="15">
        <f t="shared" si="20"/>
        <v>1.2489644402003919</v>
      </c>
      <c r="K36" s="15">
        <f t="shared" si="20"/>
        <v>1.3076854545057841</v>
      </c>
      <c r="L36" s="15">
        <f t="shared" si="20"/>
        <v>1.3664064688111766</v>
      </c>
      <c r="M36" s="34"/>
      <c r="N36" s="11">
        <v>4</v>
      </c>
      <c r="O36" s="16">
        <f t="shared" si="21"/>
        <v>0.48704595265704276</v>
      </c>
      <c r="P36" s="16">
        <f t="shared" si="21"/>
        <v>0.51698215602841924</v>
      </c>
      <c r="Q36" s="16">
        <f t="shared" si="21"/>
        <v>0.54691835939979583</v>
      </c>
      <c r="R36" s="16">
        <f t="shared" si="21"/>
        <v>0.57685456277117231</v>
      </c>
      <c r="S36" s="16">
        <f t="shared" si="21"/>
        <v>0.60679076614254868</v>
      </c>
      <c r="T36" s="16">
        <f t="shared" si="21"/>
        <v>0.63672696951392527</v>
      </c>
      <c r="U36" s="16">
        <f t="shared" si="21"/>
        <v>0.66666317288530175</v>
      </c>
      <c r="V36" s="16">
        <f t="shared" si="21"/>
        <v>0.69659937625667834</v>
      </c>
    </row>
    <row r="37" spans="1:22" x14ac:dyDescent="0.25">
      <c r="A37" s="9"/>
      <c r="B37" s="19"/>
      <c r="C37" s="33"/>
      <c r="D37" s="10">
        <v>5</v>
      </c>
      <c r="E37" s="15">
        <f t="shared" si="20"/>
        <v>0.94626070801939732</v>
      </c>
      <c r="F37" s="15">
        <f t="shared" si="20"/>
        <v>1.0044224745695003</v>
      </c>
      <c r="G37" s="15">
        <f t="shared" si="20"/>
        <v>1.0625842411196031</v>
      </c>
      <c r="H37" s="15">
        <f t="shared" si="20"/>
        <v>1.120746007669706</v>
      </c>
      <c r="I37" s="15">
        <f t="shared" si="20"/>
        <v>1.1789077742198089</v>
      </c>
      <c r="J37" s="15">
        <f t="shared" si="20"/>
        <v>1.2370695407699117</v>
      </c>
      <c r="K37" s="15">
        <f t="shared" si="20"/>
        <v>1.2952313073200148</v>
      </c>
      <c r="L37" s="15">
        <f t="shared" si="20"/>
        <v>1.3533930738701179</v>
      </c>
      <c r="M37" s="34"/>
      <c r="N37" s="11">
        <v>5</v>
      </c>
      <c r="O37" s="16">
        <f t="shared" si="21"/>
        <v>0.48467011874164256</v>
      </c>
      <c r="P37" s="16">
        <f t="shared" si="21"/>
        <v>0.51446029185267095</v>
      </c>
      <c r="Q37" s="16">
        <f t="shared" si="21"/>
        <v>0.54425046496369922</v>
      </c>
      <c r="R37" s="16">
        <f t="shared" si="21"/>
        <v>0.5740406380747276</v>
      </c>
      <c r="S37" s="16">
        <f t="shared" si="21"/>
        <v>0.60383081118575588</v>
      </c>
      <c r="T37" s="16">
        <f t="shared" si="21"/>
        <v>0.63362098429678426</v>
      </c>
      <c r="U37" s="16">
        <f t="shared" si="21"/>
        <v>0.66341115740781254</v>
      </c>
      <c r="V37" s="16">
        <f t="shared" si="21"/>
        <v>0.69320133051884092</v>
      </c>
    </row>
    <row r="38" spans="1:22" x14ac:dyDescent="0.25">
      <c r="A38" s="9"/>
      <c r="B38" s="19"/>
      <c r="C38" s="33"/>
      <c r="D38" s="10">
        <v>6</v>
      </c>
      <c r="E38" s="15">
        <f t="shared" si="20"/>
        <v>0.93733372020789352</v>
      </c>
      <c r="F38" s="15">
        <f t="shared" si="20"/>
        <v>0.99494679084714654</v>
      </c>
      <c r="G38" s="15">
        <f t="shared" si="20"/>
        <v>1.0525598614863994</v>
      </c>
      <c r="H38" s="15">
        <f t="shared" si="20"/>
        <v>1.1101729321256522</v>
      </c>
      <c r="I38" s="15">
        <f t="shared" si="20"/>
        <v>1.167786002764905</v>
      </c>
      <c r="J38" s="15">
        <f t="shared" si="20"/>
        <v>1.225399073404158</v>
      </c>
      <c r="K38" s="15">
        <f t="shared" si="20"/>
        <v>1.2830121440434108</v>
      </c>
      <c r="L38" s="15">
        <f t="shared" si="20"/>
        <v>1.3406252146826638</v>
      </c>
      <c r="M38" s="34"/>
      <c r="N38" s="11">
        <v>6</v>
      </c>
      <c r="O38" s="16">
        <f t="shared" si="21"/>
        <v>0.48231735117493557</v>
      </c>
      <c r="P38" s="16">
        <f t="shared" si="21"/>
        <v>0.51196291179513365</v>
      </c>
      <c r="Q38" s="16">
        <f t="shared" si="21"/>
        <v>0.54160847241533183</v>
      </c>
      <c r="R38" s="16">
        <f t="shared" si="21"/>
        <v>0.5712540330355298</v>
      </c>
      <c r="S38" s="16">
        <f t="shared" si="21"/>
        <v>0.60089959365572787</v>
      </c>
      <c r="T38" s="16">
        <f t="shared" si="21"/>
        <v>0.63054515427592595</v>
      </c>
      <c r="U38" s="16">
        <f t="shared" si="21"/>
        <v>0.66019071489612402</v>
      </c>
      <c r="V38" s="16">
        <f t="shared" si="21"/>
        <v>0.68983627551632221</v>
      </c>
    </row>
    <row r="39" spans="1:22" x14ac:dyDescent="0.25">
      <c r="A39" s="9"/>
      <c r="B39" s="19"/>
      <c r="C39" s="33"/>
      <c r="D39" s="10">
        <v>7</v>
      </c>
      <c r="E39" s="15">
        <f t="shared" si="20"/>
        <v>0.92857359198165157</v>
      </c>
      <c r="F39" s="15">
        <f t="shared" si="20"/>
        <v>0.98564822270838814</v>
      </c>
      <c r="G39" s="15">
        <f t="shared" si="20"/>
        <v>1.0427228534351247</v>
      </c>
      <c r="H39" s="15">
        <f t="shared" si="20"/>
        <v>1.099797484161861</v>
      </c>
      <c r="I39" s="15">
        <f t="shared" si="20"/>
        <v>1.1568721148885974</v>
      </c>
      <c r="J39" s="15">
        <f t="shared" si="20"/>
        <v>1.2139467456153339</v>
      </c>
      <c r="K39" s="15">
        <f t="shared" si="20"/>
        <v>1.2710213763420706</v>
      </c>
      <c r="L39" s="15">
        <f t="shared" si="20"/>
        <v>1.328096007068807</v>
      </c>
      <c r="M39" s="34"/>
      <c r="N39" s="11">
        <v>7</v>
      </c>
      <c r="O39" s="16">
        <f t="shared" si="21"/>
        <v>0.47998731566201319</v>
      </c>
      <c r="P39" s="16">
        <f t="shared" si="21"/>
        <v>0.50948966101351467</v>
      </c>
      <c r="Q39" s="16">
        <f t="shared" si="21"/>
        <v>0.53899200636501621</v>
      </c>
      <c r="R39" s="16">
        <f t="shared" si="21"/>
        <v>0.56849435171651763</v>
      </c>
      <c r="S39" s="16">
        <f t="shared" si="21"/>
        <v>0.59799669706801906</v>
      </c>
      <c r="T39" s="16">
        <f t="shared" si="21"/>
        <v>0.62749904241952059</v>
      </c>
      <c r="U39" s="16">
        <f t="shared" si="21"/>
        <v>0.65700138777102202</v>
      </c>
      <c r="V39" s="16">
        <f t="shared" si="21"/>
        <v>0.68650373312252355</v>
      </c>
    </row>
    <row r="40" spans="1:22" x14ac:dyDescent="0.25">
      <c r="A40" s="9"/>
      <c r="B40" s="19"/>
      <c r="C40" s="33"/>
      <c r="D40" s="10">
        <v>8</v>
      </c>
      <c r="E40" s="15">
        <f t="shared" si="20"/>
        <v>0.9199756883521919</v>
      </c>
      <c r="F40" s="15">
        <f t="shared" si="20"/>
        <v>0.97652185027590299</v>
      </c>
      <c r="G40" s="15">
        <f t="shared" si="20"/>
        <v>1.0330680121996143</v>
      </c>
      <c r="H40" s="15">
        <f t="shared" si="20"/>
        <v>1.0896141741233254</v>
      </c>
      <c r="I40" s="15">
        <f t="shared" si="20"/>
        <v>1.1461603360470365</v>
      </c>
      <c r="J40" s="15">
        <f t="shared" si="20"/>
        <v>1.2027064979707476</v>
      </c>
      <c r="K40" s="15">
        <f t="shared" si="20"/>
        <v>1.2592526598944587</v>
      </c>
      <c r="L40" s="15">
        <f t="shared" si="20"/>
        <v>1.31579882181817</v>
      </c>
      <c r="M40" s="34"/>
      <c r="N40" s="11">
        <v>8</v>
      </c>
      <c r="O40" s="16">
        <f t="shared" si="21"/>
        <v>0.47767968433671498</v>
      </c>
      <c r="P40" s="16">
        <f t="shared" si="21"/>
        <v>0.50704019148941126</v>
      </c>
      <c r="Q40" s="16">
        <f t="shared" si="21"/>
        <v>0.53640069864210738</v>
      </c>
      <c r="R40" s="16">
        <f t="shared" si="21"/>
        <v>0.56576120579480349</v>
      </c>
      <c r="S40" s="16">
        <f t="shared" si="21"/>
        <v>0.59512171294749971</v>
      </c>
      <c r="T40" s="16">
        <f t="shared" si="21"/>
        <v>0.62448222010019594</v>
      </c>
      <c r="U40" s="16">
        <f t="shared" si="21"/>
        <v>0.65384272725289205</v>
      </c>
      <c r="V40" s="16">
        <f t="shared" si="21"/>
        <v>0.68320323440558828</v>
      </c>
    </row>
    <row r="41" spans="1:22" x14ac:dyDescent="0.25">
      <c r="A41" s="9"/>
      <c r="B41" s="19"/>
      <c r="C41" s="33"/>
      <c r="D41" s="10">
        <v>9</v>
      </c>
      <c r="E41" s="15">
        <f t="shared" si="20"/>
        <v>0.91153554442235507</v>
      </c>
      <c r="F41" s="15">
        <f t="shared" si="20"/>
        <v>0.96756293421832595</v>
      </c>
      <c r="G41" s="15">
        <f t="shared" si="20"/>
        <v>1.0235903240142967</v>
      </c>
      <c r="H41" s="15">
        <f t="shared" si="20"/>
        <v>1.0796177138102674</v>
      </c>
      <c r="I41" s="15">
        <f t="shared" si="20"/>
        <v>1.1356451036062378</v>
      </c>
      <c r="J41" s="15">
        <f t="shared" si="20"/>
        <v>1.1916724934022085</v>
      </c>
      <c r="K41" s="15">
        <f t="shared" si="20"/>
        <v>1.2476998831981794</v>
      </c>
      <c r="L41" s="15">
        <f t="shared" si="20"/>
        <v>1.30372727299415</v>
      </c>
      <c r="M41" s="34"/>
      <c r="N41" s="11">
        <v>9</v>
      </c>
      <c r="O41" s="16">
        <f t="shared" si="21"/>
        <v>0.47539413560783123</v>
      </c>
      <c r="P41" s="16">
        <f t="shared" si="21"/>
        <v>0.50461416186506003</v>
      </c>
      <c r="Q41" s="16">
        <f t="shared" si="21"/>
        <v>0.53383418812228878</v>
      </c>
      <c r="R41" s="16">
        <f t="shared" si="21"/>
        <v>0.56305421437951753</v>
      </c>
      <c r="S41" s="16">
        <f t="shared" si="21"/>
        <v>0.59227424063674616</v>
      </c>
      <c r="T41" s="16">
        <f t="shared" si="21"/>
        <v>0.62149426689397491</v>
      </c>
      <c r="U41" s="16">
        <f t="shared" si="21"/>
        <v>0.65071429315120366</v>
      </c>
      <c r="V41" s="16">
        <f t="shared" si="21"/>
        <v>0.67993431940843252</v>
      </c>
    </row>
    <row r="42" spans="1:22" x14ac:dyDescent="0.25">
      <c r="A42" s="9"/>
      <c r="B42" s="19"/>
      <c r="C42" s="33"/>
      <c r="D42" s="10">
        <v>10</v>
      </c>
      <c r="E42" s="15">
        <f t="shared" si="20"/>
        <v>0.90324885765487928</v>
      </c>
      <c r="F42" s="15">
        <f t="shared" si="20"/>
        <v>0.95876690754361382</v>
      </c>
      <c r="G42" s="15">
        <f t="shared" si="20"/>
        <v>1.0142849574323485</v>
      </c>
      <c r="H42" s="15">
        <f t="shared" si="20"/>
        <v>1.0698030073210831</v>
      </c>
      <c r="I42" s="15">
        <f t="shared" si="20"/>
        <v>1.1253210572098176</v>
      </c>
      <c r="J42" s="15">
        <f t="shared" si="20"/>
        <v>1.1808391070985522</v>
      </c>
      <c r="K42" s="15">
        <f t="shared" si="20"/>
        <v>1.2363571569872867</v>
      </c>
      <c r="L42" s="15">
        <f t="shared" si="20"/>
        <v>1.2918752068760215</v>
      </c>
      <c r="M42" s="34"/>
      <c r="N42" s="11">
        <v>10</v>
      </c>
      <c r="O42" s="16">
        <f t="shared" si="21"/>
        <v>0.47313035400969866</v>
      </c>
      <c r="P42" s="16">
        <f t="shared" si="21"/>
        <v>0.50221123728475014</v>
      </c>
      <c r="Q42" s="16">
        <f t="shared" si="21"/>
        <v>0.53129212055980157</v>
      </c>
      <c r="R42" s="16">
        <f t="shared" si="21"/>
        <v>0.560373003834853</v>
      </c>
      <c r="S42" s="16">
        <f t="shared" si="21"/>
        <v>0.58945388710990443</v>
      </c>
      <c r="T42" s="16">
        <f t="shared" si="21"/>
        <v>0.61853477038495586</v>
      </c>
      <c r="U42" s="16">
        <f t="shared" si="21"/>
        <v>0.6476156536600074</v>
      </c>
      <c r="V42" s="16">
        <f t="shared" si="21"/>
        <v>0.67669653693505893</v>
      </c>
    </row>
  </sheetData>
  <mergeCells count="13">
    <mergeCell ref="E30:L30"/>
    <mergeCell ref="O30:V30"/>
    <mergeCell ref="C32:C42"/>
    <mergeCell ref="M32:M42"/>
    <mergeCell ref="A1:B1"/>
    <mergeCell ref="D1:V1"/>
    <mergeCell ref="A12:B12"/>
    <mergeCell ref="A13:B13"/>
    <mergeCell ref="A15:B15"/>
    <mergeCell ref="A26:B26"/>
    <mergeCell ref="A27:B27"/>
    <mergeCell ref="D29:L29"/>
    <mergeCell ref="N29:V2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Spray cooling PVT result</vt:lpstr>
      <vt:lpstr>Tube plate PVT result</vt:lpstr>
      <vt:lpstr>Flat plate PVT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zhao</cp:lastModifiedBy>
  <dcterms:created xsi:type="dcterms:W3CDTF">2015-06-05T18:19:34Z</dcterms:created>
  <dcterms:modified xsi:type="dcterms:W3CDTF">2025-01-15T11:49:55Z</dcterms:modified>
</cp:coreProperties>
</file>